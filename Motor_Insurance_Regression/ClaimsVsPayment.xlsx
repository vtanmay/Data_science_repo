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F2" i="1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2"/>
  <c r="D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2"/>
  <c r="C2"/>
  <c r="E3" i="2"/>
  <c r="E4"/>
  <c r="E5"/>
  <c r="E6"/>
  <c r="E7"/>
  <c r="E8"/>
  <c r="E9"/>
  <c r="E10"/>
  <c r="E11"/>
  <c r="E12"/>
  <c r="E13"/>
  <c r="E2"/>
  <c r="C2"/>
  <c r="D3"/>
  <c r="D4"/>
  <c r="D5"/>
  <c r="D6"/>
  <c r="D7"/>
  <c r="D8"/>
  <c r="D9"/>
  <c r="D10"/>
  <c r="D11"/>
  <c r="D12"/>
  <c r="D13"/>
  <c r="D2"/>
  <c r="F9" i="3"/>
  <c r="G7"/>
  <c r="I8"/>
  <c r="I4"/>
  <c r="I5"/>
  <c r="I3"/>
  <c r="H4"/>
  <c r="H5"/>
  <c r="H3"/>
  <c r="G4"/>
  <c r="G5"/>
  <c r="G3"/>
  <c r="F4"/>
  <c r="F5"/>
  <c r="F3"/>
  <c r="E4"/>
  <c r="E5"/>
  <c r="E3"/>
  <c r="D3"/>
</calcChain>
</file>

<file path=xl/sharedStrings.xml><?xml version="1.0" encoding="utf-8"?>
<sst xmlns="http://schemas.openxmlformats.org/spreadsheetml/2006/main" count="31" uniqueCount="30">
  <si>
    <t>Xi</t>
  </si>
  <si>
    <t>Yi</t>
  </si>
  <si>
    <t>y=3x+2</t>
  </si>
  <si>
    <t>Baseline prediction</t>
  </si>
  <si>
    <t>avg of Y values</t>
  </si>
  <si>
    <t>SSE</t>
  </si>
  <si>
    <t>SST</t>
  </si>
  <si>
    <t>R^2</t>
  </si>
  <si>
    <t>yi-y^</t>
  </si>
  <si>
    <t>(yi-y^)sqre</t>
  </si>
  <si>
    <t>yi-mean(y)</t>
  </si>
  <si>
    <t>(yi-mean(y))sqre</t>
  </si>
  <si>
    <t>Y^ (Predicted)</t>
  </si>
  <si>
    <t>explained variation/total variation</t>
  </si>
  <si>
    <t>payment</t>
  </si>
  <si>
    <t>claims</t>
  </si>
  <si>
    <t>y=(3.507*x)+6.226</t>
  </si>
  <si>
    <t>error</t>
  </si>
  <si>
    <t>y mean</t>
  </si>
  <si>
    <t>mean y</t>
  </si>
  <si>
    <t>error from mean</t>
  </si>
  <si>
    <t>error square</t>
  </si>
  <si>
    <t>slope</t>
  </si>
  <si>
    <t>intercept</t>
  </si>
  <si>
    <t>y - predicted</t>
  </si>
  <si>
    <t>y - y predicted</t>
  </si>
  <si>
    <t>square(I)</t>
  </si>
  <si>
    <t>sst</t>
  </si>
  <si>
    <t>X</t>
  </si>
  <si>
    <t>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</si>
</sst>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74136960"/>
        <c:axId val="74151040"/>
      </c:scatterChart>
      <c:valAx>
        <c:axId val="74136960"/>
        <c:scaling>
          <c:orientation val="minMax"/>
        </c:scaling>
        <c:axPos val="b"/>
        <c:numFmt formatCode="General" sourceLinked="1"/>
        <c:tickLblPos val="nextTo"/>
        <c:crossAx val="74151040"/>
        <c:crosses val="autoZero"/>
        <c:crossBetween val="midCat"/>
      </c:valAx>
      <c:valAx>
        <c:axId val="74151040"/>
        <c:scaling>
          <c:orientation val="minMax"/>
        </c:scaling>
        <c:axPos val="l"/>
        <c:majorGridlines/>
        <c:numFmt formatCode="General" sourceLinked="1"/>
        <c:tickLblPos val="nextTo"/>
        <c:crossAx val="7413696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payment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81968512"/>
        <c:axId val="81970304"/>
      </c:scatterChart>
      <c:valAx>
        <c:axId val="81968512"/>
        <c:scaling>
          <c:orientation val="minMax"/>
        </c:scaling>
        <c:axPos val="b"/>
        <c:numFmt formatCode="General" sourceLinked="1"/>
        <c:tickLblPos val="nextTo"/>
        <c:crossAx val="81970304"/>
        <c:crosses val="autoZero"/>
        <c:crossBetween val="midCat"/>
      </c:valAx>
      <c:valAx>
        <c:axId val="81970304"/>
        <c:scaling>
          <c:orientation val="minMax"/>
        </c:scaling>
        <c:axPos val="l"/>
        <c:majorGridlines/>
        <c:numFmt formatCode="General" sourceLinked="1"/>
        <c:tickLblPos val="nextTo"/>
        <c:crossAx val="81968512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81978496"/>
        <c:axId val="81980032"/>
      </c:scatterChart>
      <c:valAx>
        <c:axId val="81978496"/>
        <c:scaling>
          <c:orientation val="minMax"/>
        </c:scaling>
        <c:axPos val="b"/>
        <c:numFmt formatCode="General" sourceLinked="1"/>
        <c:tickLblPos val="nextTo"/>
        <c:crossAx val="81980032"/>
        <c:crosses val="autoZero"/>
        <c:crossBetween val="midCat"/>
      </c:valAx>
      <c:valAx>
        <c:axId val="81980032"/>
        <c:scaling>
          <c:orientation val="minMax"/>
        </c:scaling>
        <c:axPos val="l"/>
        <c:majorGridlines/>
        <c:numFmt formatCode="General" sourceLinked="1"/>
        <c:tickLblPos val="nextTo"/>
        <c:crossAx val="8197849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485775</xdr:colOff>
      <xdr:row>5</xdr:row>
      <xdr:rowOff>114300</xdr:rowOff>
    </xdr:from>
    <xdr:to>
      <xdr:col>19</xdr:col>
      <xdr:colOff>180975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5</xdr:row>
      <xdr:rowOff>161925</xdr:rowOff>
    </xdr:from>
    <xdr:to>
      <xdr:col>14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6</xdr:row>
      <xdr:rowOff>95250</xdr:rowOff>
    </xdr:from>
    <xdr:to>
      <xdr:col>19</xdr:col>
      <xdr:colOff>47625</xdr:colOff>
      <xdr:row>20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4"/>
  <sheetViews>
    <sheetView tabSelected="1" workbookViewId="0">
      <selection activeCell="C5" sqref="C5"/>
    </sheetView>
  </sheetViews>
  <sheetFormatPr defaultRowHeight="15"/>
  <cols>
    <col min="1" max="1" width="15.28515625" bestFit="1" customWidth="1"/>
    <col min="2" max="2" width="14.28515625" customWidth="1"/>
    <col min="4" max="4" width="15.7109375" bestFit="1" customWidth="1"/>
    <col min="5" max="5" width="11.85546875" bestFit="1" customWidth="1"/>
    <col min="6" max="6" width="11.85546875" customWidth="1"/>
    <col min="9" max="9" width="12.140625" bestFit="1" customWidth="1"/>
    <col min="10" max="10" width="13.7109375" bestFit="1" customWidth="1"/>
  </cols>
  <sheetData>
    <row r="1" spans="1:11">
      <c r="A1" s="1" t="s">
        <v>28</v>
      </c>
      <c r="B1" s="1" t="s">
        <v>29</v>
      </c>
      <c r="C1" t="s">
        <v>19</v>
      </c>
      <c r="D1" t="s">
        <v>20</v>
      </c>
      <c r="E1" t="s">
        <v>21</v>
      </c>
      <c r="F1" t="s">
        <v>27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>
      <c r="A2" s="1">
        <v>108</v>
      </c>
      <c r="B2" s="1">
        <v>392.5</v>
      </c>
      <c r="C2">
        <f>AVERAGE(B2:B64)</f>
        <v>98.18730158730159</v>
      </c>
      <c r="D2">
        <f>B2-$C$2</f>
        <v>294.31269841269841</v>
      </c>
      <c r="E2">
        <f>D2*D2</f>
        <v>86619.964446963975</v>
      </c>
      <c r="F2">
        <f>SUM(E2:E64)</f>
        <v>472818.28984126967</v>
      </c>
    </row>
    <row r="3" spans="1:11">
      <c r="A3" s="1">
        <v>19</v>
      </c>
      <c r="B3" s="1">
        <v>46.2</v>
      </c>
      <c r="D3">
        <f t="shared" ref="D3:D64" si="0">B3-$C$2</f>
        <v>-51.987301587301587</v>
      </c>
      <c r="E3">
        <f t="shared" ref="E3:E64" si="1">D3*D3</f>
        <v>2702.6795263290501</v>
      </c>
    </row>
    <row r="4" spans="1:11">
      <c r="A4" s="1">
        <v>13</v>
      </c>
      <c r="B4" s="1">
        <v>15.7</v>
      </c>
      <c r="D4">
        <f t="shared" si="0"/>
        <v>-82.487301587301587</v>
      </c>
      <c r="E4">
        <f t="shared" si="1"/>
        <v>6804.1549231544468</v>
      </c>
    </row>
    <row r="5" spans="1:11">
      <c r="A5" s="1">
        <v>124</v>
      </c>
      <c r="B5" s="1">
        <v>422.2</v>
      </c>
      <c r="D5">
        <f t="shared" si="0"/>
        <v>324.0126984126984</v>
      </c>
      <c r="E5">
        <f t="shared" si="1"/>
        <v>104984.22873267825</v>
      </c>
    </row>
    <row r="6" spans="1:11">
      <c r="A6" s="1">
        <v>40</v>
      </c>
      <c r="B6" s="1">
        <v>119.4</v>
      </c>
      <c r="D6">
        <f t="shared" si="0"/>
        <v>21.212698412698415</v>
      </c>
      <c r="E6">
        <f t="shared" si="1"/>
        <v>449.9785739480979</v>
      </c>
    </row>
    <row r="7" spans="1:11">
      <c r="A7" s="1">
        <v>57</v>
      </c>
      <c r="B7" s="1">
        <v>170.9</v>
      </c>
      <c r="D7">
        <f t="shared" si="0"/>
        <v>72.712698412698415</v>
      </c>
      <c r="E7">
        <f t="shared" si="1"/>
        <v>5287.1365104560346</v>
      </c>
    </row>
    <row r="8" spans="1:11">
      <c r="A8" s="1">
        <v>23</v>
      </c>
      <c r="B8" s="1">
        <v>56.9</v>
      </c>
      <c r="D8">
        <f t="shared" si="0"/>
        <v>-41.287301587301592</v>
      </c>
      <c r="E8">
        <f t="shared" si="1"/>
        <v>1704.6412723607966</v>
      </c>
    </row>
    <row r="9" spans="1:11">
      <c r="A9" s="1">
        <v>14</v>
      </c>
      <c r="B9" s="1">
        <v>77.5</v>
      </c>
      <c r="D9">
        <f t="shared" si="0"/>
        <v>-20.68730158730159</v>
      </c>
      <c r="E9">
        <f t="shared" si="1"/>
        <v>427.96444696397089</v>
      </c>
    </row>
    <row r="10" spans="1:11">
      <c r="A10" s="1">
        <v>45</v>
      </c>
      <c r="B10" s="1">
        <v>214</v>
      </c>
      <c r="D10">
        <f t="shared" si="0"/>
        <v>115.81269841269841</v>
      </c>
      <c r="E10">
        <f t="shared" si="1"/>
        <v>13412.581113630637</v>
      </c>
    </row>
    <row r="11" spans="1:11">
      <c r="A11" s="1">
        <v>10</v>
      </c>
      <c r="B11" s="1">
        <v>65.3</v>
      </c>
      <c r="D11">
        <f t="shared" si="0"/>
        <v>-32.887301587301593</v>
      </c>
      <c r="E11">
        <f t="shared" si="1"/>
        <v>1081.5746056941298</v>
      </c>
    </row>
    <row r="12" spans="1:11">
      <c r="A12" s="1">
        <v>5</v>
      </c>
      <c r="B12" s="1">
        <v>20.9</v>
      </c>
      <c r="D12">
        <f t="shared" si="0"/>
        <v>-77.287301587301585</v>
      </c>
      <c r="E12">
        <f t="shared" si="1"/>
        <v>5973.3269866465098</v>
      </c>
    </row>
    <row r="13" spans="1:11">
      <c r="A13" s="1">
        <v>48</v>
      </c>
      <c r="B13" s="1">
        <v>248.1</v>
      </c>
      <c r="D13">
        <f t="shared" si="0"/>
        <v>149.9126984126984</v>
      </c>
      <c r="E13">
        <f t="shared" si="1"/>
        <v>22473.817145376666</v>
      </c>
    </row>
    <row r="14" spans="1:11">
      <c r="A14" s="1">
        <v>11</v>
      </c>
      <c r="B14" s="1">
        <v>23.5</v>
      </c>
      <c r="D14">
        <f t="shared" si="0"/>
        <v>-74.68730158730159</v>
      </c>
      <c r="E14">
        <f t="shared" si="1"/>
        <v>5578.1930183925424</v>
      </c>
    </row>
    <row r="15" spans="1:11">
      <c r="A15" s="1">
        <v>23</v>
      </c>
      <c r="B15" s="1">
        <v>39.6</v>
      </c>
      <c r="D15">
        <f t="shared" si="0"/>
        <v>-58.587301587301589</v>
      </c>
      <c r="E15">
        <f t="shared" si="1"/>
        <v>3432.4719072814314</v>
      </c>
    </row>
    <row r="16" spans="1:11">
      <c r="A16" s="1">
        <v>7</v>
      </c>
      <c r="B16" s="1">
        <v>48.8</v>
      </c>
      <c r="D16">
        <f t="shared" si="0"/>
        <v>-49.387301587301593</v>
      </c>
      <c r="E16">
        <f t="shared" si="1"/>
        <v>2439.1055580750826</v>
      </c>
    </row>
    <row r="17" spans="1:5">
      <c r="A17" s="1">
        <v>2</v>
      </c>
      <c r="B17" s="1">
        <v>6.6</v>
      </c>
      <c r="D17">
        <f t="shared" si="0"/>
        <v>-91.587301587301596</v>
      </c>
      <c r="E17">
        <f t="shared" si="1"/>
        <v>8388.2338120433378</v>
      </c>
    </row>
    <row r="18" spans="1:5">
      <c r="A18" s="1">
        <v>24</v>
      </c>
      <c r="B18" s="1">
        <v>134.9</v>
      </c>
      <c r="D18">
        <f t="shared" si="0"/>
        <v>36.712698412698415</v>
      </c>
      <c r="E18">
        <f t="shared" si="1"/>
        <v>1347.8222247417489</v>
      </c>
    </row>
    <row r="19" spans="1:5">
      <c r="A19" s="1">
        <v>6</v>
      </c>
      <c r="B19" s="1">
        <v>50.9</v>
      </c>
      <c r="D19">
        <f t="shared" si="0"/>
        <v>-47.287301587301592</v>
      </c>
      <c r="E19">
        <f t="shared" si="1"/>
        <v>2236.0888914084157</v>
      </c>
    </row>
    <row r="20" spans="1:5">
      <c r="A20" s="1">
        <v>3</v>
      </c>
      <c r="B20" s="1">
        <v>4.4000000000000004</v>
      </c>
      <c r="D20">
        <f t="shared" si="0"/>
        <v>-93.787301587301585</v>
      </c>
      <c r="E20">
        <f t="shared" si="1"/>
        <v>8796.0579390274615</v>
      </c>
    </row>
    <row r="21" spans="1:5">
      <c r="A21" s="1">
        <v>23</v>
      </c>
      <c r="B21" s="1">
        <v>113</v>
      </c>
      <c r="D21">
        <f t="shared" si="0"/>
        <v>14.81269841269841</v>
      </c>
      <c r="E21">
        <f t="shared" si="1"/>
        <v>219.41603426555798</v>
      </c>
    </row>
    <row r="22" spans="1:5">
      <c r="A22" s="1">
        <v>6</v>
      </c>
      <c r="B22" s="1">
        <v>14.8</v>
      </c>
      <c r="D22">
        <f t="shared" si="0"/>
        <v>-83.387301587301593</v>
      </c>
      <c r="E22">
        <f t="shared" si="1"/>
        <v>6953.4420660115911</v>
      </c>
    </row>
    <row r="23" spans="1:5">
      <c r="A23" s="1">
        <v>9</v>
      </c>
      <c r="B23" s="1">
        <v>48.7</v>
      </c>
      <c r="D23">
        <f t="shared" si="0"/>
        <v>-49.487301587301587</v>
      </c>
      <c r="E23">
        <f t="shared" si="1"/>
        <v>2448.9930183925421</v>
      </c>
    </row>
    <row r="24" spans="1:5">
      <c r="A24" s="1">
        <v>9</v>
      </c>
      <c r="B24" s="1">
        <v>52.1</v>
      </c>
      <c r="D24">
        <f t="shared" si="0"/>
        <v>-46.087301587301589</v>
      </c>
      <c r="E24">
        <f t="shared" si="1"/>
        <v>2124.0393675988917</v>
      </c>
    </row>
    <row r="25" spans="1:5">
      <c r="A25" s="1">
        <v>3</v>
      </c>
      <c r="B25" s="1">
        <v>13.2</v>
      </c>
      <c r="D25">
        <f t="shared" si="0"/>
        <v>-84.987301587301587</v>
      </c>
      <c r="E25">
        <f t="shared" si="1"/>
        <v>7222.8414310909548</v>
      </c>
    </row>
    <row r="26" spans="1:5">
      <c r="A26" s="1">
        <v>29</v>
      </c>
      <c r="B26" s="1">
        <v>103.9</v>
      </c>
      <c r="D26">
        <f t="shared" si="0"/>
        <v>5.7126984126984155</v>
      </c>
      <c r="E26">
        <f t="shared" si="1"/>
        <v>32.634923154446994</v>
      </c>
    </row>
    <row r="27" spans="1:5">
      <c r="A27" s="1">
        <v>7</v>
      </c>
      <c r="B27" s="1">
        <v>77.5</v>
      </c>
      <c r="D27">
        <f t="shared" si="0"/>
        <v>-20.68730158730159</v>
      </c>
      <c r="E27">
        <f t="shared" si="1"/>
        <v>427.96444696397089</v>
      </c>
    </row>
    <row r="28" spans="1:5">
      <c r="A28" s="1">
        <v>4</v>
      </c>
      <c r="B28" s="1">
        <v>11.8</v>
      </c>
      <c r="D28">
        <f t="shared" si="0"/>
        <v>-86.387301587301593</v>
      </c>
      <c r="E28">
        <f t="shared" si="1"/>
        <v>7462.7658755354005</v>
      </c>
    </row>
    <row r="29" spans="1:5">
      <c r="A29" s="1">
        <v>20</v>
      </c>
      <c r="B29" s="1">
        <v>98.1</v>
      </c>
      <c r="D29">
        <f t="shared" si="0"/>
        <v>-8.7301587301595873E-2</v>
      </c>
      <c r="E29">
        <f t="shared" si="1"/>
        <v>7.6215671453781662E-3</v>
      </c>
    </row>
    <row r="30" spans="1:5">
      <c r="A30" s="1">
        <v>7</v>
      </c>
      <c r="B30" s="1">
        <v>27.9</v>
      </c>
      <c r="D30">
        <f t="shared" si="0"/>
        <v>-70.287301587301585</v>
      </c>
      <c r="E30">
        <f t="shared" si="1"/>
        <v>4940.3047644242879</v>
      </c>
    </row>
    <row r="31" spans="1:5">
      <c r="A31" s="1">
        <v>4</v>
      </c>
      <c r="B31" s="1">
        <v>38.1</v>
      </c>
      <c r="D31">
        <f t="shared" si="0"/>
        <v>-60.087301587301589</v>
      </c>
      <c r="E31">
        <f t="shared" si="1"/>
        <v>3610.483812043336</v>
      </c>
    </row>
    <row r="32" spans="1:5">
      <c r="A32" s="1">
        <v>0</v>
      </c>
      <c r="B32" s="1">
        <v>0</v>
      </c>
      <c r="D32">
        <f t="shared" si="0"/>
        <v>-98.18730158730159</v>
      </c>
      <c r="E32">
        <f t="shared" si="1"/>
        <v>9640.7461929957171</v>
      </c>
    </row>
    <row r="33" spans="1:5">
      <c r="A33" s="1">
        <v>25</v>
      </c>
      <c r="B33" s="1">
        <v>69.2</v>
      </c>
      <c r="D33">
        <f t="shared" si="0"/>
        <v>-28.987301587301587</v>
      </c>
      <c r="E33">
        <f t="shared" si="1"/>
        <v>840.26365331317709</v>
      </c>
    </row>
    <row r="34" spans="1:5">
      <c r="A34" s="1">
        <v>6</v>
      </c>
      <c r="B34" s="1">
        <v>14.6</v>
      </c>
      <c r="D34">
        <f t="shared" si="0"/>
        <v>-83.587301587301596</v>
      </c>
      <c r="E34">
        <f t="shared" si="1"/>
        <v>6986.8369866465118</v>
      </c>
    </row>
    <row r="35" spans="1:5">
      <c r="A35" s="1">
        <v>5</v>
      </c>
      <c r="B35" s="1">
        <v>40.299999999999997</v>
      </c>
      <c r="D35">
        <f t="shared" si="0"/>
        <v>-57.887301587301593</v>
      </c>
      <c r="E35">
        <f t="shared" si="1"/>
        <v>3350.9396850592098</v>
      </c>
    </row>
    <row r="36" spans="1:5">
      <c r="A36" s="1">
        <v>22</v>
      </c>
      <c r="B36" s="1">
        <v>161.5</v>
      </c>
      <c r="D36">
        <f t="shared" si="0"/>
        <v>63.31269841269841</v>
      </c>
      <c r="E36">
        <f t="shared" si="1"/>
        <v>4008.497780297304</v>
      </c>
    </row>
    <row r="37" spans="1:5">
      <c r="A37" s="1">
        <v>11</v>
      </c>
      <c r="B37" s="1">
        <v>57.2</v>
      </c>
      <c r="D37">
        <f t="shared" si="0"/>
        <v>-40.987301587301587</v>
      </c>
      <c r="E37">
        <f t="shared" si="1"/>
        <v>1679.9588914084152</v>
      </c>
    </row>
    <row r="38" spans="1:5">
      <c r="A38" s="1">
        <v>61</v>
      </c>
      <c r="B38" s="1">
        <v>217.6</v>
      </c>
      <c r="D38">
        <f t="shared" si="0"/>
        <v>119.4126984126984</v>
      </c>
      <c r="E38">
        <f t="shared" si="1"/>
        <v>14259.392542202064</v>
      </c>
    </row>
    <row r="39" spans="1:5">
      <c r="A39" s="1">
        <v>12</v>
      </c>
      <c r="B39" s="1">
        <v>58.1</v>
      </c>
      <c r="D39">
        <f t="shared" si="0"/>
        <v>-40.087301587301589</v>
      </c>
      <c r="E39">
        <f t="shared" si="1"/>
        <v>1606.9917485512724</v>
      </c>
    </row>
    <row r="40" spans="1:5">
      <c r="A40" s="1">
        <v>4</v>
      </c>
      <c r="B40" s="1">
        <v>12.6</v>
      </c>
      <c r="D40">
        <f t="shared" si="0"/>
        <v>-85.587301587301596</v>
      </c>
      <c r="E40">
        <f t="shared" si="1"/>
        <v>7325.1861929957186</v>
      </c>
    </row>
    <row r="41" spans="1:5">
      <c r="A41" s="1">
        <v>16</v>
      </c>
      <c r="B41" s="1">
        <v>59.6</v>
      </c>
      <c r="D41">
        <f t="shared" si="0"/>
        <v>-38.587301587301589</v>
      </c>
      <c r="E41">
        <f t="shared" si="1"/>
        <v>1488.9798437893678</v>
      </c>
    </row>
    <row r="42" spans="1:5">
      <c r="A42" s="1">
        <v>13</v>
      </c>
      <c r="B42" s="1">
        <v>89.9</v>
      </c>
      <c r="D42">
        <f t="shared" si="0"/>
        <v>-8.2873015873015845</v>
      </c>
      <c r="E42">
        <f t="shared" si="1"/>
        <v>68.679367598891361</v>
      </c>
    </row>
    <row r="43" spans="1:5">
      <c r="A43" s="1">
        <v>60</v>
      </c>
      <c r="B43" s="1">
        <v>202.4</v>
      </c>
      <c r="D43">
        <f t="shared" si="0"/>
        <v>104.21269841269842</v>
      </c>
      <c r="E43">
        <f t="shared" si="1"/>
        <v>10860.286510456035</v>
      </c>
    </row>
    <row r="44" spans="1:5">
      <c r="A44" s="1">
        <v>41</v>
      </c>
      <c r="B44" s="1">
        <v>181.3</v>
      </c>
      <c r="D44">
        <f t="shared" si="0"/>
        <v>83.112698412698421</v>
      </c>
      <c r="E44">
        <f t="shared" si="1"/>
        <v>6907.720637440163</v>
      </c>
    </row>
    <row r="45" spans="1:5">
      <c r="A45" s="1">
        <v>37</v>
      </c>
      <c r="B45" s="1">
        <v>152.80000000000001</v>
      </c>
      <c r="D45">
        <f t="shared" si="0"/>
        <v>54.612698412698421</v>
      </c>
      <c r="E45">
        <f t="shared" si="1"/>
        <v>2982.5468279163529</v>
      </c>
    </row>
    <row r="46" spans="1:5">
      <c r="A46" s="1">
        <v>55</v>
      </c>
      <c r="B46" s="1">
        <v>162.80000000000001</v>
      </c>
      <c r="D46">
        <f t="shared" si="0"/>
        <v>64.612698412698421</v>
      </c>
      <c r="E46">
        <f t="shared" si="1"/>
        <v>4174.8007961703215</v>
      </c>
    </row>
    <row r="47" spans="1:5">
      <c r="A47" s="1">
        <v>41</v>
      </c>
      <c r="B47" s="1">
        <v>73.400000000000006</v>
      </c>
      <c r="D47">
        <f t="shared" si="0"/>
        <v>-24.787301587301585</v>
      </c>
      <c r="E47">
        <f t="shared" si="1"/>
        <v>614.41031997984362</v>
      </c>
    </row>
    <row r="48" spans="1:5">
      <c r="A48" s="1">
        <v>11</v>
      </c>
      <c r="B48" s="1">
        <v>21.3</v>
      </c>
      <c r="D48">
        <f t="shared" si="0"/>
        <v>-76.887301587301593</v>
      </c>
      <c r="E48">
        <f t="shared" si="1"/>
        <v>5911.6571453766701</v>
      </c>
    </row>
    <row r="49" spans="1:5">
      <c r="A49" s="1">
        <v>27</v>
      </c>
      <c r="B49" s="1">
        <v>92.6</v>
      </c>
      <c r="D49">
        <f t="shared" si="0"/>
        <v>-5.5873015873015959</v>
      </c>
      <c r="E49">
        <f t="shared" si="1"/>
        <v>31.217939027462933</v>
      </c>
    </row>
    <row r="50" spans="1:5">
      <c r="A50" s="1">
        <v>8</v>
      </c>
      <c r="B50" s="1">
        <v>76.099999999999994</v>
      </c>
      <c r="D50">
        <f t="shared" si="0"/>
        <v>-22.087301587301596</v>
      </c>
      <c r="E50">
        <f t="shared" si="1"/>
        <v>487.84889140841562</v>
      </c>
    </row>
    <row r="51" spans="1:5">
      <c r="A51" s="1">
        <v>3</v>
      </c>
      <c r="B51" s="1">
        <v>39.9</v>
      </c>
      <c r="D51">
        <f t="shared" si="0"/>
        <v>-58.287301587301592</v>
      </c>
      <c r="E51">
        <f t="shared" si="1"/>
        <v>3397.4095263290505</v>
      </c>
    </row>
    <row r="52" spans="1:5">
      <c r="A52" s="1">
        <v>17</v>
      </c>
      <c r="B52" s="1">
        <v>142.1</v>
      </c>
      <c r="D52">
        <f t="shared" si="0"/>
        <v>43.912698412698404</v>
      </c>
      <c r="E52">
        <f t="shared" si="1"/>
        <v>1928.325081884605</v>
      </c>
    </row>
    <row r="53" spans="1:5">
      <c r="A53" s="1">
        <v>13</v>
      </c>
      <c r="B53" s="1">
        <v>93</v>
      </c>
      <c r="D53">
        <f t="shared" si="0"/>
        <v>-5.1873015873015902</v>
      </c>
      <c r="E53">
        <f t="shared" si="1"/>
        <v>26.908097757621597</v>
      </c>
    </row>
    <row r="54" spans="1:5">
      <c r="A54" s="1">
        <v>13</v>
      </c>
      <c r="B54" s="1">
        <v>31.9</v>
      </c>
      <c r="D54">
        <f t="shared" si="0"/>
        <v>-66.287301587301585</v>
      </c>
      <c r="E54">
        <f t="shared" si="1"/>
        <v>4394.006351725875</v>
      </c>
    </row>
    <row r="55" spans="1:5">
      <c r="A55" s="1">
        <v>15</v>
      </c>
      <c r="B55" s="1">
        <v>32.1</v>
      </c>
      <c r="D55">
        <f t="shared" si="0"/>
        <v>-66.087301587301596</v>
      </c>
      <c r="E55">
        <f t="shared" si="1"/>
        <v>4367.5314310909562</v>
      </c>
    </row>
    <row r="56" spans="1:5">
      <c r="A56" s="1">
        <v>8</v>
      </c>
      <c r="B56" s="1">
        <v>55.6</v>
      </c>
      <c r="D56">
        <f t="shared" si="0"/>
        <v>-42.587301587301589</v>
      </c>
      <c r="E56">
        <f t="shared" si="1"/>
        <v>1813.6782564877803</v>
      </c>
    </row>
    <row r="57" spans="1:5">
      <c r="A57" s="1">
        <v>29</v>
      </c>
      <c r="B57" s="1">
        <v>133.30000000000001</v>
      </c>
      <c r="D57">
        <f t="shared" si="0"/>
        <v>35.112698412698421</v>
      </c>
      <c r="E57">
        <f t="shared" si="1"/>
        <v>1232.9015898211142</v>
      </c>
    </row>
    <row r="58" spans="1:5">
      <c r="A58" s="1">
        <v>30</v>
      </c>
      <c r="B58" s="1">
        <v>194.5</v>
      </c>
      <c r="D58">
        <f t="shared" si="0"/>
        <v>96.31269841269841</v>
      </c>
      <c r="E58">
        <f t="shared" si="1"/>
        <v>9276.1358755353995</v>
      </c>
    </row>
    <row r="59" spans="1:5">
      <c r="A59" s="1">
        <v>24</v>
      </c>
      <c r="B59" s="1">
        <v>137.9</v>
      </c>
      <c r="D59">
        <f t="shared" si="0"/>
        <v>39.712698412698415</v>
      </c>
      <c r="E59">
        <f t="shared" si="1"/>
        <v>1577.0984152179392</v>
      </c>
    </row>
    <row r="60" spans="1:5">
      <c r="A60" s="1">
        <v>9</v>
      </c>
      <c r="B60" s="1">
        <v>87.4</v>
      </c>
      <c r="D60">
        <f t="shared" si="0"/>
        <v>-10.787301587301585</v>
      </c>
      <c r="E60">
        <f t="shared" si="1"/>
        <v>116.36587553539928</v>
      </c>
    </row>
    <row r="61" spans="1:5">
      <c r="A61" s="1">
        <v>31</v>
      </c>
      <c r="B61" s="1">
        <v>209.8</v>
      </c>
      <c r="D61">
        <f t="shared" si="0"/>
        <v>111.61269841269842</v>
      </c>
      <c r="E61">
        <f t="shared" si="1"/>
        <v>12457.394446963972</v>
      </c>
    </row>
    <row r="62" spans="1:5">
      <c r="A62" s="1">
        <v>14</v>
      </c>
      <c r="B62" s="1">
        <v>95.5</v>
      </c>
      <c r="D62">
        <f t="shared" si="0"/>
        <v>-2.6873015873015902</v>
      </c>
      <c r="E62">
        <f t="shared" si="1"/>
        <v>7.2215898211136462</v>
      </c>
    </row>
    <row r="63" spans="1:5">
      <c r="A63" s="1">
        <v>53</v>
      </c>
      <c r="B63" s="1">
        <v>244.6</v>
      </c>
      <c r="D63">
        <f t="shared" si="0"/>
        <v>146.4126984126984</v>
      </c>
      <c r="E63">
        <f t="shared" si="1"/>
        <v>21436.678256487779</v>
      </c>
    </row>
    <row r="64" spans="1:5">
      <c r="A64" s="1">
        <v>26</v>
      </c>
      <c r="B64" s="1">
        <v>187.5</v>
      </c>
      <c r="D64">
        <f t="shared" si="0"/>
        <v>89.31269841269841</v>
      </c>
      <c r="E64">
        <f t="shared" si="1"/>
        <v>7976.7580977576208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"/>
  <sheetViews>
    <sheetView topLeftCell="C1" workbookViewId="0">
      <selection activeCell="E2" sqref="E2"/>
    </sheetView>
  </sheetViews>
  <sheetFormatPr defaultRowHeight="15"/>
  <cols>
    <col min="1" max="1" width="31.85546875" bestFit="1" customWidth="1"/>
    <col min="2" max="2" width="42.5703125" bestFit="1" customWidth="1"/>
    <col min="3" max="3" width="42.5703125" customWidth="1"/>
    <col min="4" max="4" width="16.7109375" bestFit="1" customWidth="1"/>
    <col min="5" max="5" width="12" bestFit="1" customWidth="1"/>
  </cols>
  <sheetData>
    <row r="1" spans="1:5">
      <c r="A1" s="1" t="s">
        <v>15</v>
      </c>
      <c r="B1" s="1" t="s">
        <v>14</v>
      </c>
      <c r="C1" s="1" t="s">
        <v>18</v>
      </c>
      <c r="D1" t="s">
        <v>16</v>
      </c>
      <c r="E1" t="s">
        <v>17</v>
      </c>
    </row>
    <row r="2" spans="1:5">
      <c r="A2" s="1">
        <v>108</v>
      </c>
      <c r="B2" s="1">
        <v>392.5</v>
      </c>
      <c r="C2" s="1">
        <f>AVERAGE(B2:B13)</f>
        <v>154.13333333333333</v>
      </c>
      <c r="D2">
        <f>(3.507*A2)+6.226</f>
        <v>384.98200000000003</v>
      </c>
      <c r="E2">
        <f>B2-$C$2</f>
        <v>238.36666666666667</v>
      </c>
    </row>
    <row r="3" spans="1:5">
      <c r="A3" s="1">
        <v>19</v>
      </c>
      <c r="B3" s="1">
        <v>46.2</v>
      </c>
      <c r="C3" s="1"/>
      <c r="D3">
        <f t="shared" ref="D3:D13" si="0">(3.507*A3)+6.226</f>
        <v>72.858999999999995</v>
      </c>
      <c r="E3">
        <f t="shared" ref="E3:E13" si="1">B3-$C$2</f>
        <v>-107.93333333333332</v>
      </c>
    </row>
    <row r="4" spans="1:5">
      <c r="A4" s="1">
        <v>13</v>
      </c>
      <c r="B4" s="1">
        <v>15.7</v>
      </c>
      <c r="C4" s="1"/>
      <c r="D4">
        <f t="shared" si="0"/>
        <v>51.817</v>
      </c>
      <c r="E4">
        <f t="shared" si="1"/>
        <v>-138.43333333333334</v>
      </c>
    </row>
    <row r="5" spans="1:5">
      <c r="A5" s="1">
        <v>124</v>
      </c>
      <c r="B5" s="1">
        <v>422.2</v>
      </c>
      <c r="C5" s="1"/>
      <c r="D5">
        <f t="shared" si="0"/>
        <v>441.09399999999999</v>
      </c>
      <c r="E5">
        <f t="shared" si="1"/>
        <v>268.06666666666666</v>
      </c>
    </row>
    <row r="6" spans="1:5">
      <c r="A6" s="1">
        <v>40</v>
      </c>
      <c r="B6" s="1">
        <v>119.4</v>
      </c>
      <c r="C6" s="1"/>
      <c r="D6">
        <f t="shared" si="0"/>
        <v>146.506</v>
      </c>
      <c r="E6">
        <f t="shared" si="1"/>
        <v>-34.73333333333332</v>
      </c>
    </row>
    <row r="7" spans="1:5">
      <c r="A7" s="1">
        <v>57</v>
      </c>
      <c r="B7" s="1">
        <v>170.9</v>
      </c>
      <c r="C7" s="1"/>
      <c r="D7">
        <f t="shared" si="0"/>
        <v>206.125</v>
      </c>
      <c r="E7">
        <f t="shared" si="1"/>
        <v>16.76666666666668</v>
      </c>
    </row>
    <row r="8" spans="1:5">
      <c r="A8" s="1">
        <v>23</v>
      </c>
      <c r="B8" s="1">
        <v>56.9</v>
      </c>
      <c r="C8" s="1"/>
      <c r="D8">
        <f t="shared" si="0"/>
        <v>86.887</v>
      </c>
      <c r="E8">
        <f t="shared" si="1"/>
        <v>-97.23333333333332</v>
      </c>
    </row>
    <row r="9" spans="1:5">
      <c r="A9" s="1">
        <v>14</v>
      </c>
      <c r="B9" s="1">
        <v>77.5</v>
      </c>
      <c r="C9" s="1"/>
      <c r="D9">
        <f t="shared" si="0"/>
        <v>55.323999999999998</v>
      </c>
      <c r="E9">
        <f t="shared" si="1"/>
        <v>-76.633333333333326</v>
      </c>
    </row>
    <row r="10" spans="1:5">
      <c r="A10" s="1">
        <v>45</v>
      </c>
      <c r="B10" s="1">
        <v>214</v>
      </c>
      <c r="C10" s="1"/>
      <c r="D10">
        <f t="shared" si="0"/>
        <v>164.041</v>
      </c>
      <c r="E10">
        <f t="shared" si="1"/>
        <v>59.866666666666674</v>
      </c>
    </row>
    <row r="11" spans="1:5">
      <c r="A11" s="1">
        <v>10</v>
      </c>
      <c r="B11" s="1">
        <v>65.3</v>
      </c>
      <c r="C11" s="1"/>
      <c r="D11">
        <f t="shared" si="0"/>
        <v>41.295999999999999</v>
      </c>
      <c r="E11">
        <f t="shared" si="1"/>
        <v>-88.833333333333329</v>
      </c>
    </row>
    <row r="12" spans="1:5">
      <c r="A12" s="1">
        <v>5</v>
      </c>
      <c r="B12" s="1">
        <v>20.9</v>
      </c>
      <c r="C12" s="1"/>
      <c r="D12">
        <f t="shared" si="0"/>
        <v>23.760999999999999</v>
      </c>
      <c r="E12">
        <f t="shared" si="1"/>
        <v>-133.23333333333332</v>
      </c>
    </row>
    <row r="13" spans="1:5">
      <c r="A13" s="1">
        <v>48</v>
      </c>
      <c r="B13" s="1">
        <v>248.1</v>
      </c>
      <c r="C13" s="1"/>
      <c r="D13">
        <f t="shared" si="0"/>
        <v>174.56200000000001</v>
      </c>
      <c r="E13">
        <f t="shared" si="1"/>
        <v>93.966666666666669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selection activeCell="I8" sqref="I8"/>
    </sheetView>
  </sheetViews>
  <sheetFormatPr defaultRowHeight="15"/>
  <cols>
    <col min="4" max="4" width="18.42578125" bestFit="1" customWidth="1"/>
    <col min="5" max="5" width="32.140625" bestFit="1" customWidth="1"/>
    <col min="7" max="7" width="10" bestFit="1" customWidth="1"/>
    <col min="8" max="8" width="10.7109375" bestFit="1" customWidth="1"/>
    <col min="9" max="9" width="16.140625" bestFit="1" customWidth="1"/>
  </cols>
  <sheetData>
    <row r="1" spans="1:9">
      <c r="A1" s="1" t="s">
        <v>0</v>
      </c>
      <c r="B1" s="1" t="s">
        <v>1</v>
      </c>
      <c r="C1" t="s">
        <v>2</v>
      </c>
      <c r="D1" t="s">
        <v>3</v>
      </c>
      <c r="E1" t="s">
        <v>12</v>
      </c>
      <c r="F1" t="s">
        <v>8</v>
      </c>
      <c r="G1" t="s">
        <v>9</v>
      </c>
      <c r="H1" t="s">
        <v>10</v>
      </c>
      <c r="I1" t="s">
        <v>11</v>
      </c>
    </row>
    <row r="2" spans="1:9">
      <c r="A2" s="1"/>
      <c r="B2" s="1"/>
      <c r="D2" t="s">
        <v>4</v>
      </c>
    </row>
    <row r="3" spans="1:9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  <c r="H3">
        <f>B3-$D$3</f>
        <v>-2</v>
      </c>
      <c r="I3">
        <f>H3^2</f>
        <v>4</v>
      </c>
    </row>
    <row r="4" spans="1:9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  <c r="H4">
        <f t="shared" ref="H4:H5" si="3">B4-$D$3</f>
        <v>-2</v>
      </c>
      <c r="I4">
        <f t="shared" ref="I4:I5" si="4">H4^2</f>
        <v>4</v>
      </c>
    </row>
    <row r="5" spans="1:9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  <c r="H5">
        <f t="shared" si="3"/>
        <v>4</v>
      </c>
      <c r="I5">
        <f t="shared" si="4"/>
        <v>16</v>
      </c>
    </row>
    <row r="6" spans="1:9">
      <c r="A6" s="1"/>
      <c r="B6" s="1"/>
    </row>
    <row r="7" spans="1:9">
      <c r="A7" s="1"/>
      <c r="B7" s="1"/>
      <c r="D7" t="s">
        <v>5</v>
      </c>
      <c r="G7">
        <f>SUM(G3:G5)</f>
        <v>18</v>
      </c>
    </row>
    <row r="8" spans="1:9">
      <c r="A8" s="1"/>
      <c r="B8" s="1"/>
      <c r="D8" t="s">
        <v>6</v>
      </c>
      <c r="I8">
        <f>SUM(I3:I5)</f>
        <v>24</v>
      </c>
    </row>
    <row r="9" spans="1:9">
      <c r="A9" s="1"/>
      <c r="B9" s="1"/>
      <c r="D9" t="s">
        <v>7</v>
      </c>
      <c r="F9">
        <f>1-(G7/I8)</f>
        <v>0.25</v>
      </c>
    </row>
    <row r="10" spans="1:9">
      <c r="A10" s="1"/>
      <c r="B10" s="1"/>
    </row>
    <row r="11" spans="1:9">
      <c r="A11" s="1"/>
      <c r="B11" s="1"/>
      <c r="D11" t="s">
        <v>7</v>
      </c>
      <c r="E11" t="s">
        <v>13</v>
      </c>
    </row>
    <row r="12" spans="1:9">
      <c r="A12" s="1"/>
      <c r="B12" s="1"/>
    </row>
    <row r="13" spans="1:9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2020-03-14T12:23:22Z</dcterms:modified>
</cp:coreProperties>
</file>