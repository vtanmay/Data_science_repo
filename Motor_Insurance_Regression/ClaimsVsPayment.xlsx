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75" windowWidth="20055" windowHeight="7935"/>
  </bookViews>
  <sheets>
    <sheet name="ClaimsVsPayment" sheetId="1" r:id="rId1"/>
    <sheet name="sample_data" sheetId="2" r:id="rId2"/>
    <sheet name="Reg_calculations" sheetId="3" r:id="rId3"/>
  </sheets>
  <calcPr calcId="124519"/>
</workbook>
</file>

<file path=xl/calcChain.xml><?xml version="1.0" encoding="utf-8"?>
<calcChain xmlns="http://schemas.openxmlformats.org/spreadsheetml/2006/main">
  <c r="L2" i="1"/>
  <c r="K2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2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59"/>
  <c r="I60"/>
  <c r="I61"/>
  <c r="I62"/>
  <c r="I63"/>
  <c r="I64"/>
  <c r="I2"/>
  <c r="H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2"/>
  <c r="C2"/>
  <c r="D6" s="1"/>
  <c r="E6" s="1"/>
  <c r="E3" i="2"/>
  <c r="E4"/>
  <c r="E5"/>
  <c r="E6"/>
  <c r="E7"/>
  <c r="E8"/>
  <c r="E9"/>
  <c r="E10"/>
  <c r="E11"/>
  <c r="E12"/>
  <c r="E13"/>
  <c r="E2"/>
  <c r="C2"/>
  <c r="D3"/>
  <c r="D4"/>
  <c r="D5"/>
  <c r="D6"/>
  <c r="D7"/>
  <c r="D8"/>
  <c r="D9"/>
  <c r="D10"/>
  <c r="D11"/>
  <c r="D12"/>
  <c r="D13"/>
  <c r="D2"/>
  <c r="F9" i="3"/>
  <c r="G7"/>
  <c r="I8"/>
  <c r="I4"/>
  <c r="I5"/>
  <c r="I3"/>
  <c r="H4"/>
  <c r="H5"/>
  <c r="H3"/>
  <c r="G4"/>
  <c r="G5"/>
  <c r="G3"/>
  <c r="F4"/>
  <c r="F5"/>
  <c r="F3"/>
  <c r="E4"/>
  <c r="E5"/>
  <c r="E3"/>
  <c r="D3"/>
  <c r="D59" i="1" l="1"/>
  <c r="E59" s="1"/>
  <c r="D51"/>
  <c r="E51" s="1"/>
  <c r="D43"/>
  <c r="E43" s="1"/>
  <c r="D39"/>
  <c r="E39" s="1"/>
  <c r="D31"/>
  <c r="E31" s="1"/>
  <c r="D27"/>
  <c r="E27" s="1"/>
  <c r="D19"/>
  <c r="E19" s="1"/>
  <c r="D15"/>
  <c r="E15" s="1"/>
  <c r="D7"/>
  <c r="E7" s="1"/>
  <c r="D64"/>
  <c r="E64" s="1"/>
  <c r="D60"/>
  <c r="E60" s="1"/>
  <c r="D52"/>
  <c r="E52" s="1"/>
  <c r="D48"/>
  <c r="E48" s="1"/>
  <c r="D40"/>
  <c r="E40" s="1"/>
  <c r="D36"/>
  <c r="E36" s="1"/>
  <c r="D32"/>
  <c r="E32" s="1"/>
  <c r="D28"/>
  <c r="E28" s="1"/>
  <c r="D24"/>
  <c r="E24" s="1"/>
  <c r="D16"/>
  <c r="E16" s="1"/>
  <c r="D12"/>
  <c r="E12" s="1"/>
  <c r="D8"/>
  <c r="E8" s="1"/>
  <c r="D4"/>
  <c r="E4" s="1"/>
  <c r="D63"/>
  <c r="E63" s="1"/>
  <c r="D55"/>
  <c r="E55" s="1"/>
  <c r="D47"/>
  <c r="E47" s="1"/>
  <c r="D35"/>
  <c r="E35" s="1"/>
  <c r="D23"/>
  <c r="E23" s="1"/>
  <c r="D11"/>
  <c r="E11" s="1"/>
  <c r="D3"/>
  <c r="E3" s="1"/>
  <c r="D56"/>
  <c r="E56" s="1"/>
  <c r="D44"/>
  <c r="E44" s="1"/>
  <c r="D20"/>
  <c r="E20" s="1"/>
  <c r="D2"/>
  <c r="E2" s="1"/>
  <c r="D61"/>
  <c r="E61" s="1"/>
  <c r="D57"/>
  <c r="E57" s="1"/>
  <c r="D53"/>
  <c r="E53" s="1"/>
  <c r="D49"/>
  <c r="E49" s="1"/>
  <c r="D45"/>
  <c r="E45" s="1"/>
  <c r="D41"/>
  <c r="E41" s="1"/>
  <c r="D37"/>
  <c r="E37" s="1"/>
  <c r="D33"/>
  <c r="E33" s="1"/>
  <c r="D29"/>
  <c r="E29" s="1"/>
  <c r="D25"/>
  <c r="E25" s="1"/>
  <c r="D21"/>
  <c r="E21" s="1"/>
  <c r="D17"/>
  <c r="E17" s="1"/>
  <c r="D13"/>
  <c r="E13" s="1"/>
  <c r="D9"/>
  <c r="E9" s="1"/>
  <c r="D5"/>
  <c r="E5" s="1"/>
  <c r="D62"/>
  <c r="E62" s="1"/>
  <c r="D58"/>
  <c r="E58" s="1"/>
  <c r="D54"/>
  <c r="E54" s="1"/>
  <c r="D50"/>
  <c r="E50" s="1"/>
  <c r="D46"/>
  <c r="E46" s="1"/>
  <c r="D42"/>
  <c r="E42" s="1"/>
  <c r="D38"/>
  <c r="E38" s="1"/>
  <c r="D34"/>
  <c r="E34" s="1"/>
  <c r="D30"/>
  <c r="E30" s="1"/>
  <c r="D26"/>
  <c r="E26" s="1"/>
  <c r="D22"/>
  <c r="E22" s="1"/>
  <c r="D18"/>
  <c r="E18" s="1"/>
  <c r="D14"/>
  <c r="E14" s="1"/>
  <c r="D10"/>
  <c r="E10" s="1"/>
  <c r="F2" l="1"/>
</calcChain>
</file>

<file path=xl/sharedStrings.xml><?xml version="1.0" encoding="utf-8"?>
<sst xmlns="http://schemas.openxmlformats.org/spreadsheetml/2006/main" count="32" uniqueCount="31">
  <si>
    <t>Xi</t>
  </si>
  <si>
    <t>Yi</t>
  </si>
  <si>
    <t>y=3x+2</t>
  </si>
  <si>
    <t>Baseline prediction</t>
  </si>
  <si>
    <t>avg of Y values</t>
  </si>
  <si>
    <t>SSE</t>
  </si>
  <si>
    <t>SST</t>
  </si>
  <si>
    <t>R^2</t>
  </si>
  <si>
    <t>yi-y^</t>
  </si>
  <si>
    <t>(yi-y^)sqre</t>
  </si>
  <si>
    <t>yi-mean(y)</t>
  </si>
  <si>
    <t>(yi-mean(y))sqre</t>
  </si>
  <si>
    <t>Y^ (Predicted)</t>
  </si>
  <si>
    <t>explained variation/total variation</t>
  </si>
  <si>
    <t>payment</t>
  </si>
  <si>
    <t>claims</t>
  </si>
  <si>
    <t>y=(3.507*x)+6.226</t>
  </si>
  <si>
    <t>error</t>
  </si>
  <si>
    <t>y mean</t>
  </si>
  <si>
    <t>mean y</t>
  </si>
  <si>
    <t>error from mean</t>
  </si>
  <si>
    <t>error square</t>
  </si>
  <si>
    <t>y - predicted</t>
  </si>
  <si>
    <t>y - y predicted</t>
  </si>
  <si>
    <t>square(I)</t>
  </si>
  <si>
    <t>sst</t>
  </si>
  <si>
    <t>X</t>
  </si>
  <si>
    <t>Y</t>
  </si>
  <si>
    <t>y=3.413x+19.99</t>
  </si>
  <si>
    <t>sse</t>
  </si>
  <si>
    <t>stdev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</si>
</sst>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ClaimsVsPayment!$B$1</c:f>
              <c:strCache>
                <c:ptCount val="1"/>
                <c:pt idx="0">
                  <c:v>Y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xVal>
            <c:numRef>
              <c:f>ClaimsVsPayment!$A$2:$A$64</c:f>
              <c:numCache>
                <c:formatCode>General</c:formatCode>
                <c:ptCount val="63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  <c:pt idx="12">
                  <c:v>11</c:v>
                </c:pt>
                <c:pt idx="13">
                  <c:v>23</c:v>
                </c:pt>
                <c:pt idx="14">
                  <c:v>7</c:v>
                </c:pt>
                <c:pt idx="15">
                  <c:v>2</c:v>
                </c:pt>
                <c:pt idx="16">
                  <c:v>24</c:v>
                </c:pt>
                <c:pt idx="17">
                  <c:v>6</c:v>
                </c:pt>
                <c:pt idx="18">
                  <c:v>3</c:v>
                </c:pt>
                <c:pt idx="19">
                  <c:v>23</c:v>
                </c:pt>
                <c:pt idx="20">
                  <c:v>6</c:v>
                </c:pt>
                <c:pt idx="21">
                  <c:v>9</c:v>
                </c:pt>
                <c:pt idx="22">
                  <c:v>9</c:v>
                </c:pt>
                <c:pt idx="23">
                  <c:v>3</c:v>
                </c:pt>
                <c:pt idx="24">
                  <c:v>29</c:v>
                </c:pt>
                <c:pt idx="25">
                  <c:v>7</c:v>
                </c:pt>
                <c:pt idx="26">
                  <c:v>4</c:v>
                </c:pt>
                <c:pt idx="27">
                  <c:v>20</c:v>
                </c:pt>
                <c:pt idx="28">
                  <c:v>7</c:v>
                </c:pt>
                <c:pt idx="29">
                  <c:v>4</c:v>
                </c:pt>
                <c:pt idx="30">
                  <c:v>0</c:v>
                </c:pt>
                <c:pt idx="31">
                  <c:v>25</c:v>
                </c:pt>
                <c:pt idx="32">
                  <c:v>6</c:v>
                </c:pt>
                <c:pt idx="33">
                  <c:v>5</c:v>
                </c:pt>
                <c:pt idx="34">
                  <c:v>22</c:v>
                </c:pt>
                <c:pt idx="35">
                  <c:v>11</c:v>
                </c:pt>
                <c:pt idx="36">
                  <c:v>61</c:v>
                </c:pt>
                <c:pt idx="37">
                  <c:v>12</c:v>
                </c:pt>
                <c:pt idx="38">
                  <c:v>4</c:v>
                </c:pt>
                <c:pt idx="39">
                  <c:v>16</c:v>
                </c:pt>
                <c:pt idx="40">
                  <c:v>13</c:v>
                </c:pt>
                <c:pt idx="41">
                  <c:v>60</c:v>
                </c:pt>
                <c:pt idx="42">
                  <c:v>41</c:v>
                </c:pt>
                <c:pt idx="43">
                  <c:v>37</c:v>
                </c:pt>
                <c:pt idx="44">
                  <c:v>55</c:v>
                </c:pt>
                <c:pt idx="45">
                  <c:v>41</c:v>
                </c:pt>
                <c:pt idx="46">
                  <c:v>11</c:v>
                </c:pt>
                <c:pt idx="47">
                  <c:v>27</c:v>
                </c:pt>
                <c:pt idx="48">
                  <c:v>8</c:v>
                </c:pt>
                <c:pt idx="49">
                  <c:v>3</c:v>
                </c:pt>
                <c:pt idx="50">
                  <c:v>17</c:v>
                </c:pt>
                <c:pt idx="51">
                  <c:v>13</c:v>
                </c:pt>
                <c:pt idx="52">
                  <c:v>13</c:v>
                </c:pt>
                <c:pt idx="53">
                  <c:v>15</c:v>
                </c:pt>
                <c:pt idx="54">
                  <c:v>8</c:v>
                </c:pt>
                <c:pt idx="55">
                  <c:v>29</c:v>
                </c:pt>
                <c:pt idx="56">
                  <c:v>30</c:v>
                </c:pt>
                <c:pt idx="57">
                  <c:v>24</c:v>
                </c:pt>
                <c:pt idx="58">
                  <c:v>9</c:v>
                </c:pt>
                <c:pt idx="59">
                  <c:v>31</c:v>
                </c:pt>
                <c:pt idx="60">
                  <c:v>14</c:v>
                </c:pt>
                <c:pt idx="61">
                  <c:v>53</c:v>
                </c:pt>
                <c:pt idx="62">
                  <c:v>26</c:v>
                </c:pt>
              </c:numCache>
            </c:numRef>
          </c:xVal>
          <c:yVal>
            <c:numRef>
              <c:f>ClaimsVsPayment!$B$2:$B$64</c:f>
              <c:numCache>
                <c:formatCode>General</c:formatCode>
                <c:ptCount val="63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  <c:pt idx="12">
                  <c:v>23.5</c:v>
                </c:pt>
                <c:pt idx="13">
                  <c:v>39.6</c:v>
                </c:pt>
                <c:pt idx="14">
                  <c:v>48.8</c:v>
                </c:pt>
                <c:pt idx="15">
                  <c:v>6.6</c:v>
                </c:pt>
                <c:pt idx="16">
                  <c:v>134.9</c:v>
                </c:pt>
                <c:pt idx="17">
                  <c:v>50.9</c:v>
                </c:pt>
                <c:pt idx="18">
                  <c:v>4.4000000000000004</c:v>
                </c:pt>
                <c:pt idx="19">
                  <c:v>113</c:v>
                </c:pt>
                <c:pt idx="20">
                  <c:v>14.8</c:v>
                </c:pt>
                <c:pt idx="21">
                  <c:v>48.7</c:v>
                </c:pt>
                <c:pt idx="22">
                  <c:v>52.1</c:v>
                </c:pt>
                <c:pt idx="23">
                  <c:v>13.2</c:v>
                </c:pt>
                <c:pt idx="24">
                  <c:v>103.9</c:v>
                </c:pt>
                <c:pt idx="25">
                  <c:v>77.5</c:v>
                </c:pt>
                <c:pt idx="26">
                  <c:v>11.8</c:v>
                </c:pt>
                <c:pt idx="27">
                  <c:v>98.1</c:v>
                </c:pt>
                <c:pt idx="28">
                  <c:v>27.9</c:v>
                </c:pt>
                <c:pt idx="29">
                  <c:v>38.1</c:v>
                </c:pt>
                <c:pt idx="30">
                  <c:v>0</c:v>
                </c:pt>
                <c:pt idx="31">
                  <c:v>69.2</c:v>
                </c:pt>
                <c:pt idx="32">
                  <c:v>14.6</c:v>
                </c:pt>
                <c:pt idx="33">
                  <c:v>40.299999999999997</c:v>
                </c:pt>
                <c:pt idx="34">
                  <c:v>161.5</c:v>
                </c:pt>
                <c:pt idx="35">
                  <c:v>57.2</c:v>
                </c:pt>
                <c:pt idx="36">
                  <c:v>217.6</c:v>
                </c:pt>
                <c:pt idx="37">
                  <c:v>58.1</c:v>
                </c:pt>
                <c:pt idx="38">
                  <c:v>12.6</c:v>
                </c:pt>
                <c:pt idx="39">
                  <c:v>59.6</c:v>
                </c:pt>
                <c:pt idx="40">
                  <c:v>89.9</c:v>
                </c:pt>
                <c:pt idx="41">
                  <c:v>202.4</c:v>
                </c:pt>
                <c:pt idx="42">
                  <c:v>181.3</c:v>
                </c:pt>
                <c:pt idx="43">
                  <c:v>152.80000000000001</c:v>
                </c:pt>
                <c:pt idx="44">
                  <c:v>162.80000000000001</c:v>
                </c:pt>
                <c:pt idx="45">
                  <c:v>73.400000000000006</c:v>
                </c:pt>
                <c:pt idx="46">
                  <c:v>21.3</c:v>
                </c:pt>
                <c:pt idx="47">
                  <c:v>92.6</c:v>
                </c:pt>
                <c:pt idx="48">
                  <c:v>76.099999999999994</c:v>
                </c:pt>
                <c:pt idx="49">
                  <c:v>39.9</c:v>
                </c:pt>
                <c:pt idx="50">
                  <c:v>142.1</c:v>
                </c:pt>
                <c:pt idx="51">
                  <c:v>93</c:v>
                </c:pt>
                <c:pt idx="52">
                  <c:v>31.9</c:v>
                </c:pt>
                <c:pt idx="53">
                  <c:v>32.1</c:v>
                </c:pt>
                <c:pt idx="54">
                  <c:v>55.6</c:v>
                </c:pt>
                <c:pt idx="55">
                  <c:v>133.30000000000001</c:v>
                </c:pt>
                <c:pt idx="56">
                  <c:v>194.5</c:v>
                </c:pt>
                <c:pt idx="57">
                  <c:v>137.9</c:v>
                </c:pt>
                <c:pt idx="58">
                  <c:v>87.4</c:v>
                </c:pt>
                <c:pt idx="59">
                  <c:v>209.8</c:v>
                </c:pt>
                <c:pt idx="60">
                  <c:v>95.5</c:v>
                </c:pt>
                <c:pt idx="61">
                  <c:v>244.6</c:v>
                </c:pt>
                <c:pt idx="62">
                  <c:v>187.5</c:v>
                </c:pt>
              </c:numCache>
            </c:numRef>
          </c:yVal>
        </c:ser>
        <c:axId val="68107648"/>
        <c:axId val="68121728"/>
      </c:scatterChart>
      <c:valAx>
        <c:axId val="68107648"/>
        <c:scaling>
          <c:orientation val="minMax"/>
        </c:scaling>
        <c:axPos val="b"/>
        <c:numFmt formatCode="General" sourceLinked="1"/>
        <c:tickLblPos val="nextTo"/>
        <c:crossAx val="68121728"/>
        <c:crosses val="autoZero"/>
        <c:crossBetween val="midCat"/>
      </c:valAx>
      <c:valAx>
        <c:axId val="68121728"/>
        <c:scaling>
          <c:orientation val="minMax"/>
        </c:scaling>
        <c:axPos val="l"/>
        <c:majorGridlines/>
        <c:numFmt formatCode="General" sourceLinked="1"/>
        <c:tickLblPos val="nextTo"/>
        <c:crossAx val="6810764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sample_data!$B$1</c:f>
              <c:strCache>
                <c:ptCount val="1"/>
                <c:pt idx="0">
                  <c:v>payment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trendline>
            <c:trendlineType val="linear"/>
          </c:trendline>
          <c:trendline>
            <c:trendlineType val="linear"/>
          </c:trendline>
          <c:xVal>
            <c:numRef>
              <c:f>sample_data!$A$2:$A$13</c:f>
              <c:numCache>
                <c:formatCode>General</c:formatCode>
                <c:ptCount val="12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</c:numCache>
            </c:numRef>
          </c:xVal>
          <c:yVal>
            <c:numRef>
              <c:f>sample_data!$B$2:$B$13</c:f>
              <c:numCache>
                <c:formatCode>General</c:formatCode>
                <c:ptCount val="12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</c:numCache>
            </c:numRef>
          </c:yVal>
        </c:ser>
        <c:axId val="80653696"/>
        <c:axId val="80655488"/>
      </c:scatterChart>
      <c:valAx>
        <c:axId val="80653696"/>
        <c:scaling>
          <c:orientation val="minMax"/>
        </c:scaling>
        <c:axPos val="b"/>
        <c:numFmt formatCode="General" sourceLinked="1"/>
        <c:tickLblPos val="nextTo"/>
        <c:crossAx val="80655488"/>
        <c:crosses val="autoZero"/>
        <c:crossBetween val="midCat"/>
      </c:valAx>
      <c:valAx>
        <c:axId val="80655488"/>
        <c:scaling>
          <c:orientation val="minMax"/>
        </c:scaling>
        <c:axPos val="l"/>
        <c:majorGridlines/>
        <c:numFmt formatCode="General" sourceLinked="1"/>
        <c:tickLblPos val="nextTo"/>
        <c:crossAx val="80653696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Reg_calculations!$B$1</c:f>
              <c:strCache>
                <c:ptCount val="1"/>
                <c:pt idx="0">
                  <c:v>Yi</c:v>
                </c:pt>
              </c:strCache>
            </c:strRef>
          </c:tx>
          <c:spPr>
            <a:ln w="28575">
              <a:noFill/>
            </a:ln>
          </c:spPr>
          <c:xVal>
            <c:numRef>
              <c:f>Reg_calculations!$A$2:$A$5</c:f>
              <c:numCache>
                <c:formatCode>General</c:formatCode>
                <c:ptCount val="4"/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xVal>
          <c:yVal>
            <c:numRef>
              <c:f>Reg_calculations!$B$2:$B$5</c:f>
              <c:numCache>
                <c:formatCode>General</c:formatCode>
                <c:ptCount val="4"/>
                <c:pt idx="1">
                  <c:v>2</c:v>
                </c:pt>
                <c:pt idx="2">
                  <c:v>2</c:v>
                </c:pt>
                <c:pt idx="3">
                  <c:v>8</c:v>
                </c:pt>
              </c:numCache>
            </c:numRef>
          </c:yVal>
        </c:ser>
        <c:axId val="80667776"/>
        <c:axId val="80669312"/>
      </c:scatterChart>
      <c:valAx>
        <c:axId val="80667776"/>
        <c:scaling>
          <c:orientation val="minMax"/>
        </c:scaling>
        <c:axPos val="b"/>
        <c:numFmt formatCode="General" sourceLinked="1"/>
        <c:tickLblPos val="nextTo"/>
        <c:crossAx val="80669312"/>
        <c:crosses val="autoZero"/>
        <c:crossBetween val="midCat"/>
      </c:valAx>
      <c:valAx>
        <c:axId val="80669312"/>
        <c:scaling>
          <c:orientation val="minMax"/>
        </c:scaling>
        <c:axPos val="l"/>
        <c:majorGridlines/>
        <c:numFmt formatCode="General" sourceLinked="1"/>
        <c:tickLblPos val="nextTo"/>
        <c:crossAx val="80667776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485775</xdr:colOff>
      <xdr:row>5</xdr:row>
      <xdr:rowOff>114300</xdr:rowOff>
    </xdr:from>
    <xdr:to>
      <xdr:col>18</xdr:col>
      <xdr:colOff>180975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5</xdr:row>
      <xdr:rowOff>161925</xdr:rowOff>
    </xdr:from>
    <xdr:to>
      <xdr:col>14</xdr:col>
      <xdr:colOff>95250</xdr:colOff>
      <xdr:row>20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352425</xdr:colOff>
      <xdr:row>6</xdr:row>
      <xdr:rowOff>95250</xdr:rowOff>
    </xdr:from>
    <xdr:to>
      <xdr:col>19</xdr:col>
      <xdr:colOff>47625</xdr:colOff>
      <xdr:row>20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64"/>
  <sheetViews>
    <sheetView tabSelected="1" workbookViewId="0">
      <selection activeCell="L3" sqref="L3"/>
    </sheetView>
  </sheetViews>
  <sheetFormatPr defaultRowHeight="15"/>
  <cols>
    <col min="1" max="1" width="15.28515625" bestFit="1" customWidth="1"/>
    <col min="2" max="2" width="14.28515625" customWidth="1"/>
    <col min="4" max="4" width="15.7109375" bestFit="1" customWidth="1"/>
    <col min="5" max="5" width="11.85546875" bestFit="1" customWidth="1"/>
    <col min="6" max="6" width="12" bestFit="1" customWidth="1"/>
    <col min="7" max="7" width="14.28515625" bestFit="1" customWidth="1"/>
    <col min="8" max="8" width="12.140625" bestFit="1" customWidth="1"/>
    <col min="9" max="9" width="13.7109375" bestFit="1" customWidth="1"/>
  </cols>
  <sheetData>
    <row r="1" spans="1:12">
      <c r="A1" s="1" t="s">
        <v>26</v>
      </c>
      <c r="B1" s="1" t="s">
        <v>27</v>
      </c>
      <c r="C1" t="s">
        <v>19</v>
      </c>
      <c r="D1" t="s">
        <v>20</v>
      </c>
      <c r="E1" t="s">
        <v>21</v>
      </c>
      <c r="F1" t="s">
        <v>25</v>
      </c>
      <c r="G1" t="s">
        <v>28</v>
      </c>
      <c r="H1" t="s">
        <v>22</v>
      </c>
      <c r="I1" t="s">
        <v>23</v>
      </c>
      <c r="J1" t="s">
        <v>24</v>
      </c>
      <c r="K1" t="s">
        <v>29</v>
      </c>
      <c r="L1" t="s">
        <v>30</v>
      </c>
    </row>
    <row r="2" spans="1:12">
      <c r="A2" s="1">
        <v>108</v>
      </c>
      <c r="B2" s="1">
        <v>392.5</v>
      </c>
      <c r="C2">
        <f>AVERAGE(B2:B64)</f>
        <v>98.18730158730159</v>
      </c>
      <c r="D2">
        <f>B2-$C$2</f>
        <v>294.31269841269841</v>
      </c>
      <c r="E2">
        <f>D2*D2</f>
        <v>86619.964446963975</v>
      </c>
      <c r="F2">
        <f>SUM(E2:E64)</f>
        <v>472818.28984126967</v>
      </c>
      <c r="H2">
        <f>(3.413*A2)+19.99</f>
        <v>388.59399999999999</v>
      </c>
      <c r="I2">
        <f>B2-H2</f>
        <v>3.9060000000000059</v>
      </c>
      <c r="J2">
        <f>I2*I2</f>
        <v>15.256836000000046</v>
      </c>
      <c r="K2">
        <f>SUM(J2:J64)</f>
        <v>78796.798828999992</v>
      </c>
      <c r="L2">
        <f>STDEVP(B2:B64)</f>
        <v>86.631704471877399</v>
      </c>
    </row>
    <row r="3" spans="1:12">
      <c r="A3" s="1">
        <v>19</v>
      </c>
      <c r="B3" s="1">
        <v>46.2</v>
      </c>
      <c r="D3">
        <f t="shared" ref="D3:D64" si="0">B3-$C$2</f>
        <v>-51.987301587301587</v>
      </c>
      <c r="E3">
        <f t="shared" ref="E3:E64" si="1">D3*D3</f>
        <v>2702.6795263290501</v>
      </c>
      <c r="H3">
        <f t="shared" ref="H3:H64" si="2">(3.413*A3)+19.99</f>
        <v>84.836999999999989</v>
      </c>
      <c r="I3">
        <f t="shared" ref="I3:I64" si="3">B3-H3</f>
        <v>-38.636999999999986</v>
      </c>
      <c r="J3">
        <f t="shared" ref="J3:J64" si="4">I3*I3</f>
        <v>1492.8177689999989</v>
      </c>
    </row>
    <row r="4" spans="1:12">
      <c r="A4" s="1">
        <v>13</v>
      </c>
      <c r="B4" s="1">
        <v>15.7</v>
      </c>
      <c r="D4">
        <f t="shared" si="0"/>
        <v>-82.487301587301587</v>
      </c>
      <c r="E4">
        <f t="shared" si="1"/>
        <v>6804.1549231544468</v>
      </c>
      <c r="H4">
        <f t="shared" si="2"/>
        <v>64.358999999999995</v>
      </c>
      <c r="I4">
        <f t="shared" si="3"/>
        <v>-48.658999999999992</v>
      </c>
      <c r="J4">
        <f t="shared" si="4"/>
        <v>2367.698280999999</v>
      </c>
    </row>
    <row r="5" spans="1:12">
      <c r="A5" s="1">
        <v>124</v>
      </c>
      <c r="B5" s="1">
        <v>422.2</v>
      </c>
      <c r="D5">
        <f t="shared" si="0"/>
        <v>324.0126984126984</v>
      </c>
      <c r="E5">
        <f t="shared" si="1"/>
        <v>104984.22873267825</v>
      </c>
      <c r="H5">
        <f t="shared" si="2"/>
        <v>443.202</v>
      </c>
      <c r="I5">
        <f t="shared" si="3"/>
        <v>-21.00200000000001</v>
      </c>
      <c r="J5">
        <f t="shared" si="4"/>
        <v>441.08400400000039</v>
      </c>
    </row>
    <row r="6" spans="1:12">
      <c r="A6" s="1">
        <v>40</v>
      </c>
      <c r="B6" s="1">
        <v>119.4</v>
      </c>
      <c r="D6">
        <f t="shared" si="0"/>
        <v>21.212698412698415</v>
      </c>
      <c r="E6">
        <f t="shared" si="1"/>
        <v>449.9785739480979</v>
      </c>
      <c r="H6">
        <f t="shared" si="2"/>
        <v>156.51</v>
      </c>
      <c r="I6">
        <f t="shared" si="3"/>
        <v>-37.109999999999985</v>
      </c>
      <c r="J6">
        <f t="shared" si="4"/>
        <v>1377.1520999999989</v>
      </c>
    </row>
    <row r="7" spans="1:12">
      <c r="A7" s="1">
        <v>57</v>
      </c>
      <c r="B7" s="1">
        <v>170.9</v>
      </c>
      <c r="D7">
        <f t="shared" si="0"/>
        <v>72.712698412698415</v>
      </c>
      <c r="E7">
        <f t="shared" si="1"/>
        <v>5287.1365104560346</v>
      </c>
      <c r="H7">
        <f t="shared" si="2"/>
        <v>214.53100000000001</v>
      </c>
      <c r="I7">
        <f t="shared" si="3"/>
        <v>-43.631</v>
      </c>
      <c r="J7">
        <f t="shared" si="4"/>
        <v>1903.6641609999999</v>
      </c>
    </row>
    <row r="8" spans="1:12">
      <c r="A8" s="1">
        <v>23</v>
      </c>
      <c r="B8" s="1">
        <v>56.9</v>
      </c>
      <c r="D8">
        <f t="shared" si="0"/>
        <v>-41.287301587301592</v>
      </c>
      <c r="E8">
        <f t="shared" si="1"/>
        <v>1704.6412723607966</v>
      </c>
      <c r="H8">
        <f t="shared" si="2"/>
        <v>98.48899999999999</v>
      </c>
      <c r="I8">
        <f t="shared" si="3"/>
        <v>-41.588999999999992</v>
      </c>
      <c r="J8">
        <f t="shared" si="4"/>
        <v>1729.6449209999994</v>
      </c>
    </row>
    <row r="9" spans="1:12">
      <c r="A9" s="1">
        <v>14</v>
      </c>
      <c r="B9" s="1">
        <v>77.5</v>
      </c>
      <c r="D9">
        <f t="shared" si="0"/>
        <v>-20.68730158730159</v>
      </c>
      <c r="E9">
        <f t="shared" si="1"/>
        <v>427.96444696397089</v>
      </c>
      <c r="H9">
        <f t="shared" si="2"/>
        <v>67.771999999999991</v>
      </c>
      <c r="I9">
        <f t="shared" si="3"/>
        <v>9.7280000000000086</v>
      </c>
      <c r="J9">
        <f t="shared" si="4"/>
        <v>94.633984000000169</v>
      </c>
    </row>
    <row r="10" spans="1:12">
      <c r="A10" s="1">
        <v>45</v>
      </c>
      <c r="B10" s="1">
        <v>214</v>
      </c>
      <c r="D10">
        <f t="shared" si="0"/>
        <v>115.81269841269841</v>
      </c>
      <c r="E10">
        <f t="shared" si="1"/>
        <v>13412.581113630637</v>
      </c>
      <c r="H10">
        <f t="shared" si="2"/>
        <v>173.57499999999999</v>
      </c>
      <c r="I10">
        <f t="shared" si="3"/>
        <v>40.425000000000011</v>
      </c>
      <c r="J10">
        <f t="shared" si="4"/>
        <v>1634.1806250000009</v>
      </c>
    </row>
    <row r="11" spans="1:12">
      <c r="A11" s="1">
        <v>10</v>
      </c>
      <c r="B11" s="1">
        <v>65.3</v>
      </c>
      <c r="D11">
        <f t="shared" si="0"/>
        <v>-32.887301587301593</v>
      </c>
      <c r="E11">
        <f t="shared" si="1"/>
        <v>1081.5746056941298</v>
      </c>
      <c r="H11">
        <f t="shared" si="2"/>
        <v>54.11999999999999</v>
      </c>
      <c r="I11">
        <f t="shared" si="3"/>
        <v>11.180000000000007</v>
      </c>
      <c r="J11">
        <f t="shared" si="4"/>
        <v>124.99240000000015</v>
      </c>
    </row>
    <row r="12" spans="1:12">
      <c r="A12" s="1">
        <v>5</v>
      </c>
      <c r="B12" s="1">
        <v>20.9</v>
      </c>
      <c r="D12">
        <f t="shared" si="0"/>
        <v>-77.287301587301585</v>
      </c>
      <c r="E12">
        <f t="shared" si="1"/>
        <v>5973.3269866465098</v>
      </c>
      <c r="H12">
        <f t="shared" si="2"/>
        <v>37.054999999999993</v>
      </c>
      <c r="I12">
        <f t="shared" si="3"/>
        <v>-16.154999999999994</v>
      </c>
      <c r="J12">
        <f t="shared" si="4"/>
        <v>260.9840249999998</v>
      </c>
    </row>
    <row r="13" spans="1:12">
      <c r="A13" s="1">
        <v>48</v>
      </c>
      <c r="B13" s="1">
        <v>248.1</v>
      </c>
      <c r="D13">
        <f t="shared" si="0"/>
        <v>149.9126984126984</v>
      </c>
      <c r="E13">
        <f t="shared" si="1"/>
        <v>22473.817145376666</v>
      </c>
      <c r="H13">
        <f t="shared" si="2"/>
        <v>183.81399999999999</v>
      </c>
      <c r="I13">
        <f t="shared" si="3"/>
        <v>64.286000000000001</v>
      </c>
      <c r="J13">
        <f t="shared" si="4"/>
        <v>4132.6897960000006</v>
      </c>
    </row>
    <row r="14" spans="1:12">
      <c r="A14" s="1">
        <v>11</v>
      </c>
      <c r="B14" s="1">
        <v>23.5</v>
      </c>
      <c r="D14">
        <f t="shared" si="0"/>
        <v>-74.68730158730159</v>
      </c>
      <c r="E14">
        <f t="shared" si="1"/>
        <v>5578.1930183925424</v>
      </c>
      <c r="H14">
        <f t="shared" si="2"/>
        <v>57.533000000000001</v>
      </c>
      <c r="I14">
        <f t="shared" si="3"/>
        <v>-34.033000000000001</v>
      </c>
      <c r="J14">
        <f t="shared" si="4"/>
        <v>1158.245089</v>
      </c>
    </row>
    <row r="15" spans="1:12">
      <c r="A15" s="1">
        <v>23</v>
      </c>
      <c r="B15" s="1">
        <v>39.6</v>
      </c>
      <c r="D15">
        <f t="shared" si="0"/>
        <v>-58.587301587301589</v>
      </c>
      <c r="E15">
        <f t="shared" si="1"/>
        <v>3432.4719072814314</v>
      </c>
      <c r="H15">
        <f t="shared" si="2"/>
        <v>98.48899999999999</v>
      </c>
      <c r="I15">
        <f t="shared" si="3"/>
        <v>-58.888999999999989</v>
      </c>
      <c r="J15">
        <f t="shared" si="4"/>
        <v>3467.9143209999988</v>
      </c>
    </row>
    <row r="16" spans="1:12">
      <c r="A16" s="1">
        <v>7</v>
      </c>
      <c r="B16" s="1">
        <v>48.8</v>
      </c>
      <c r="D16">
        <f t="shared" si="0"/>
        <v>-49.387301587301593</v>
      </c>
      <c r="E16">
        <f t="shared" si="1"/>
        <v>2439.1055580750826</v>
      </c>
      <c r="H16">
        <f t="shared" si="2"/>
        <v>43.881</v>
      </c>
      <c r="I16">
        <f t="shared" si="3"/>
        <v>4.9189999999999969</v>
      </c>
      <c r="J16">
        <f t="shared" si="4"/>
        <v>24.196560999999971</v>
      </c>
    </row>
    <row r="17" spans="1:10">
      <c r="A17" s="1">
        <v>2</v>
      </c>
      <c r="B17" s="1">
        <v>6.6</v>
      </c>
      <c r="D17">
        <f t="shared" si="0"/>
        <v>-91.587301587301596</v>
      </c>
      <c r="E17">
        <f t="shared" si="1"/>
        <v>8388.2338120433378</v>
      </c>
      <c r="H17">
        <f t="shared" si="2"/>
        <v>26.815999999999999</v>
      </c>
      <c r="I17">
        <f t="shared" si="3"/>
        <v>-20.216000000000001</v>
      </c>
      <c r="J17">
        <f t="shared" si="4"/>
        <v>408.68665600000003</v>
      </c>
    </row>
    <row r="18" spans="1:10">
      <c r="A18" s="1">
        <v>24</v>
      </c>
      <c r="B18" s="1">
        <v>134.9</v>
      </c>
      <c r="D18">
        <f t="shared" si="0"/>
        <v>36.712698412698415</v>
      </c>
      <c r="E18">
        <f t="shared" si="1"/>
        <v>1347.8222247417489</v>
      </c>
      <c r="H18">
        <f t="shared" si="2"/>
        <v>101.90199999999999</v>
      </c>
      <c r="I18">
        <f t="shared" si="3"/>
        <v>32.998000000000019</v>
      </c>
      <c r="J18">
        <f t="shared" si="4"/>
        <v>1088.8680040000013</v>
      </c>
    </row>
    <row r="19" spans="1:10">
      <c r="A19" s="1">
        <v>6</v>
      </c>
      <c r="B19" s="1">
        <v>50.9</v>
      </c>
      <c r="D19">
        <f t="shared" si="0"/>
        <v>-47.287301587301592</v>
      </c>
      <c r="E19">
        <f t="shared" si="1"/>
        <v>2236.0888914084157</v>
      </c>
      <c r="H19">
        <f t="shared" si="2"/>
        <v>40.467999999999996</v>
      </c>
      <c r="I19">
        <f t="shared" si="3"/>
        <v>10.432000000000002</v>
      </c>
      <c r="J19">
        <f t="shared" si="4"/>
        <v>108.82662400000004</v>
      </c>
    </row>
    <row r="20" spans="1:10">
      <c r="A20" s="1">
        <v>3</v>
      </c>
      <c r="B20" s="1">
        <v>4.4000000000000004</v>
      </c>
      <c r="D20">
        <f t="shared" si="0"/>
        <v>-93.787301587301585</v>
      </c>
      <c r="E20">
        <f t="shared" si="1"/>
        <v>8796.0579390274615</v>
      </c>
      <c r="H20">
        <f t="shared" si="2"/>
        <v>30.228999999999999</v>
      </c>
      <c r="I20">
        <f t="shared" si="3"/>
        <v>-25.829000000000001</v>
      </c>
      <c r="J20">
        <f t="shared" si="4"/>
        <v>667.13724100000002</v>
      </c>
    </row>
    <row r="21" spans="1:10">
      <c r="A21" s="1">
        <v>23</v>
      </c>
      <c r="B21" s="1">
        <v>113</v>
      </c>
      <c r="D21">
        <f t="shared" si="0"/>
        <v>14.81269841269841</v>
      </c>
      <c r="E21">
        <f t="shared" si="1"/>
        <v>219.41603426555798</v>
      </c>
      <c r="H21">
        <f t="shared" si="2"/>
        <v>98.48899999999999</v>
      </c>
      <c r="I21">
        <f t="shared" si="3"/>
        <v>14.51100000000001</v>
      </c>
      <c r="J21">
        <f t="shared" si="4"/>
        <v>210.56912100000028</v>
      </c>
    </row>
    <row r="22" spans="1:10">
      <c r="A22" s="1">
        <v>6</v>
      </c>
      <c r="B22" s="1">
        <v>14.8</v>
      </c>
      <c r="D22">
        <f t="shared" si="0"/>
        <v>-83.387301587301593</v>
      </c>
      <c r="E22">
        <f t="shared" si="1"/>
        <v>6953.4420660115911</v>
      </c>
      <c r="H22">
        <f t="shared" si="2"/>
        <v>40.467999999999996</v>
      </c>
      <c r="I22">
        <f t="shared" si="3"/>
        <v>-25.667999999999996</v>
      </c>
      <c r="J22">
        <f t="shared" si="4"/>
        <v>658.84622399999978</v>
      </c>
    </row>
    <row r="23" spans="1:10">
      <c r="A23" s="1">
        <v>9</v>
      </c>
      <c r="B23" s="1">
        <v>48.7</v>
      </c>
      <c r="D23">
        <f t="shared" si="0"/>
        <v>-49.487301587301587</v>
      </c>
      <c r="E23">
        <f t="shared" si="1"/>
        <v>2448.9930183925421</v>
      </c>
      <c r="H23">
        <f t="shared" si="2"/>
        <v>50.706999999999994</v>
      </c>
      <c r="I23">
        <f t="shared" si="3"/>
        <v>-2.0069999999999908</v>
      </c>
      <c r="J23">
        <f t="shared" si="4"/>
        <v>4.0280489999999629</v>
      </c>
    </row>
    <row r="24" spans="1:10">
      <c r="A24" s="1">
        <v>9</v>
      </c>
      <c r="B24" s="1">
        <v>52.1</v>
      </c>
      <c r="D24">
        <f t="shared" si="0"/>
        <v>-46.087301587301589</v>
      </c>
      <c r="E24">
        <f t="shared" si="1"/>
        <v>2124.0393675988917</v>
      </c>
      <c r="H24">
        <f t="shared" si="2"/>
        <v>50.706999999999994</v>
      </c>
      <c r="I24">
        <f t="shared" si="3"/>
        <v>1.3930000000000078</v>
      </c>
      <c r="J24">
        <f t="shared" si="4"/>
        <v>1.9404490000000216</v>
      </c>
    </row>
    <row r="25" spans="1:10">
      <c r="A25" s="1">
        <v>3</v>
      </c>
      <c r="B25" s="1">
        <v>13.2</v>
      </c>
      <c r="D25">
        <f t="shared" si="0"/>
        <v>-84.987301587301587</v>
      </c>
      <c r="E25">
        <f t="shared" si="1"/>
        <v>7222.8414310909548</v>
      </c>
      <c r="H25">
        <f t="shared" si="2"/>
        <v>30.228999999999999</v>
      </c>
      <c r="I25">
        <f t="shared" si="3"/>
        <v>-17.029</v>
      </c>
      <c r="J25">
        <f t="shared" si="4"/>
        <v>289.98684099999997</v>
      </c>
    </row>
    <row r="26" spans="1:10">
      <c r="A26" s="1">
        <v>29</v>
      </c>
      <c r="B26" s="1">
        <v>103.9</v>
      </c>
      <c r="D26">
        <f t="shared" si="0"/>
        <v>5.7126984126984155</v>
      </c>
      <c r="E26">
        <f t="shared" si="1"/>
        <v>32.634923154446994</v>
      </c>
      <c r="H26">
        <f t="shared" si="2"/>
        <v>118.96699999999998</v>
      </c>
      <c r="I26">
        <f t="shared" si="3"/>
        <v>-15.066999999999979</v>
      </c>
      <c r="J26">
        <f t="shared" si="4"/>
        <v>227.01448899999937</v>
      </c>
    </row>
    <row r="27" spans="1:10">
      <c r="A27" s="1">
        <v>7</v>
      </c>
      <c r="B27" s="1">
        <v>77.5</v>
      </c>
      <c r="D27">
        <f t="shared" si="0"/>
        <v>-20.68730158730159</v>
      </c>
      <c r="E27">
        <f t="shared" si="1"/>
        <v>427.96444696397089</v>
      </c>
      <c r="H27">
        <f t="shared" si="2"/>
        <v>43.881</v>
      </c>
      <c r="I27">
        <f t="shared" si="3"/>
        <v>33.619</v>
      </c>
      <c r="J27">
        <f t="shared" si="4"/>
        <v>1130.237161</v>
      </c>
    </row>
    <row r="28" spans="1:10">
      <c r="A28" s="1">
        <v>4</v>
      </c>
      <c r="B28" s="1">
        <v>11.8</v>
      </c>
      <c r="D28">
        <f t="shared" si="0"/>
        <v>-86.387301587301593</v>
      </c>
      <c r="E28">
        <f t="shared" si="1"/>
        <v>7462.7658755354005</v>
      </c>
      <c r="H28">
        <f t="shared" si="2"/>
        <v>33.641999999999996</v>
      </c>
      <c r="I28">
        <f t="shared" si="3"/>
        <v>-21.841999999999995</v>
      </c>
      <c r="J28">
        <f t="shared" si="4"/>
        <v>477.07296399999979</v>
      </c>
    </row>
    <row r="29" spans="1:10">
      <c r="A29" s="1">
        <v>20</v>
      </c>
      <c r="B29" s="1">
        <v>98.1</v>
      </c>
      <c r="D29">
        <f t="shared" si="0"/>
        <v>-8.7301587301595873E-2</v>
      </c>
      <c r="E29">
        <f t="shared" si="1"/>
        <v>7.6215671453781662E-3</v>
      </c>
      <c r="H29">
        <f t="shared" si="2"/>
        <v>88.249999999999986</v>
      </c>
      <c r="I29">
        <f t="shared" si="3"/>
        <v>9.8500000000000085</v>
      </c>
      <c r="J29">
        <f t="shared" si="4"/>
        <v>97.022500000000164</v>
      </c>
    </row>
    <row r="30" spans="1:10">
      <c r="A30" s="1">
        <v>7</v>
      </c>
      <c r="B30" s="1">
        <v>27.9</v>
      </c>
      <c r="D30">
        <f t="shared" si="0"/>
        <v>-70.287301587301585</v>
      </c>
      <c r="E30">
        <f t="shared" si="1"/>
        <v>4940.3047644242879</v>
      </c>
      <c r="H30">
        <f t="shared" si="2"/>
        <v>43.881</v>
      </c>
      <c r="I30">
        <f t="shared" si="3"/>
        <v>-15.981000000000002</v>
      </c>
      <c r="J30">
        <f t="shared" si="4"/>
        <v>255.39236100000005</v>
      </c>
    </row>
    <row r="31" spans="1:10">
      <c r="A31" s="1">
        <v>4</v>
      </c>
      <c r="B31" s="1">
        <v>38.1</v>
      </c>
      <c r="D31">
        <f t="shared" si="0"/>
        <v>-60.087301587301589</v>
      </c>
      <c r="E31">
        <f t="shared" si="1"/>
        <v>3610.483812043336</v>
      </c>
      <c r="H31">
        <f t="shared" si="2"/>
        <v>33.641999999999996</v>
      </c>
      <c r="I31">
        <f t="shared" si="3"/>
        <v>4.4580000000000055</v>
      </c>
      <c r="J31">
        <f t="shared" si="4"/>
        <v>19.873764000000048</v>
      </c>
    </row>
    <row r="32" spans="1:10">
      <c r="A32" s="1">
        <v>0</v>
      </c>
      <c r="B32" s="1">
        <v>0</v>
      </c>
      <c r="D32">
        <f t="shared" si="0"/>
        <v>-98.18730158730159</v>
      </c>
      <c r="E32">
        <f t="shared" si="1"/>
        <v>9640.7461929957171</v>
      </c>
      <c r="H32">
        <f t="shared" si="2"/>
        <v>19.989999999999998</v>
      </c>
      <c r="I32">
        <f t="shared" si="3"/>
        <v>-19.989999999999998</v>
      </c>
      <c r="J32">
        <f t="shared" si="4"/>
        <v>399.60009999999994</v>
      </c>
    </row>
    <row r="33" spans="1:10">
      <c r="A33" s="1">
        <v>25</v>
      </c>
      <c r="B33" s="1">
        <v>69.2</v>
      </c>
      <c r="D33">
        <f t="shared" si="0"/>
        <v>-28.987301587301587</v>
      </c>
      <c r="E33">
        <f t="shared" si="1"/>
        <v>840.26365331317709</v>
      </c>
      <c r="H33">
        <f t="shared" si="2"/>
        <v>105.31499999999998</v>
      </c>
      <c r="I33">
        <f t="shared" si="3"/>
        <v>-36.114999999999981</v>
      </c>
      <c r="J33">
        <f t="shared" si="4"/>
        <v>1304.2932249999985</v>
      </c>
    </row>
    <row r="34" spans="1:10">
      <c r="A34" s="1">
        <v>6</v>
      </c>
      <c r="B34" s="1">
        <v>14.6</v>
      </c>
      <c r="D34">
        <f t="shared" si="0"/>
        <v>-83.587301587301596</v>
      </c>
      <c r="E34">
        <f t="shared" si="1"/>
        <v>6986.8369866465118</v>
      </c>
      <c r="H34">
        <f t="shared" si="2"/>
        <v>40.467999999999996</v>
      </c>
      <c r="I34">
        <f t="shared" si="3"/>
        <v>-25.867999999999995</v>
      </c>
      <c r="J34">
        <f t="shared" si="4"/>
        <v>669.15342399999975</v>
      </c>
    </row>
    <row r="35" spans="1:10">
      <c r="A35" s="1">
        <v>5</v>
      </c>
      <c r="B35" s="1">
        <v>40.299999999999997</v>
      </c>
      <c r="D35">
        <f t="shared" si="0"/>
        <v>-57.887301587301593</v>
      </c>
      <c r="E35">
        <f t="shared" si="1"/>
        <v>3350.9396850592098</v>
      </c>
      <c r="H35">
        <f t="shared" si="2"/>
        <v>37.054999999999993</v>
      </c>
      <c r="I35">
        <f t="shared" si="3"/>
        <v>3.2450000000000045</v>
      </c>
      <c r="J35">
        <f t="shared" si="4"/>
        <v>10.53002500000003</v>
      </c>
    </row>
    <row r="36" spans="1:10">
      <c r="A36" s="1">
        <v>22</v>
      </c>
      <c r="B36" s="1">
        <v>161.5</v>
      </c>
      <c r="D36">
        <f t="shared" si="0"/>
        <v>63.31269841269841</v>
      </c>
      <c r="E36">
        <f t="shared" si="1"/>
        <v>4008.497780297304</v>
      </c>
      <c r="H36">
        <f t="shared" si="2"/>
        <v>95.075999999999993</v>
      </c>
      <c r="I36">
        <f t="shared" si="3"/>
        <v>66.424000000000007</v>
      </c>
      <c r="J36">
        <f t="shared" si="4"/>
        <v>4412.1477760000007</v>
      </c>
    </row>
    <row r="37" spans="1:10">
      <c r="A37" s="1">
        <v>11</v>
      </c>
      <c r="B37" s="1">
        <v>57.2</v>
      </c>
      <c r="D37">
        <f t="shared" si="0"/>
        <v>-40.987301587301587</v>
      </c>
      <c r="E37">
        <f t="shared" si="1"/>
        <v>1679.9588914084152</v>
      </c>
      <c r="H37">
        <f t="shared" si="2"/>
        <v>57.533000000000001</v>
      </c>
      <c r="I37">
        <f t="shared" si="3"/>
        <v>-0.33299999999999841</v>
      </c>
      <c r="J37">
        <f t="shared" si="4"/>
        <v>0.11088899999999895</v>
      </c>
    </row>
    <row r="38" spans="1:10">
      <c r="A38" s="1">
        <v>61</v>
      </c>
      <c r="B38" s="1">
        <v>217.6</v>
      </c>
      <c r="D38">
        <f t="shared" si="0"/>
        <v>119.4126984126984</v>
      </c>
      <c r="E38">
        <f t="shared" si="1"/>
        <v>14259.392542202064</v>
      </c>
      <c r="H38">
        <f t="shared" si="2"/>
        <v>228.18299999999999</v>
      </c>
      <c r="I38">
        <f t="shared" si="3"/>
        <v>-10.582999999999998</v>
      </c>
      <c r="J38">
        <f t="shared" si="4"/>
        <v>111.99988899999997</v>
      </c>
    </row>
    <row r="39" spans="1:10">
      <c r="A39" s="1">
        <v>12</v>
      </c>
      <c r="B39" s="1">
        <v>58.1</v>
      </c>
      <c r="D39">
        <f t="shared" si="0"/>
        <v>-40.087301587301589</v>
      </c>
      <c r="E39">
        <f t="shared" si="1"/>
        <v>1606.9917485512724</v>
      </c>
      <c r="H39">
        <f t="shared" si="2"/>
        <v>60.945999999999998</v>
      </c>
      <c r="I39">
        <f t="shared" si="3"/>
        <v>-2.8459999999999965</v>
      </c>
      <c r="J39">
        <f t="shared" si="4"/>
        <v>8.0997159999999795</v>
      </c>
    </row>
    <row r="40" spans="1:10">
      <c r="A40" s="1">
        <v>4</v>
      </c>
      <c r="B40" s="1">
        <v>12.6</v>
      </c>
      <c r="D40">
        <f t="shared" si="0"/>
        <v>-85.587301587301596</v>
      </c>
      <c r="E40">
        <f t="shared" si="1"/>
        <v>7325.1861929957186</v>
      </c>
      <c r="H40">
        <f t="shared" si="2"/>
        <v>33.641999999999996</v>
      </c>
      <c r="I40">
        <f t="shared" si="3"/>
        <v>-21.041999999999994</v>
      </c>
      <c r="J40">
        <f t="shared" si="4"/>
        <v>442.76576399999976</v>
      </c>
    </row>
    <row r="41" spans="1:10">
      <c r="A41" s="1">
        <v>16</v>
      </c>
      <c r="B41" s="1">
        <v>59.6</v>
      </c>
      <c r="D41">
        <f t="shared" si="0"/>
        <v>-38.587301587301589</v>
      </c>
      <c r="E41">
        <f t="shared" si="1"/>
        <v>1488.9798437893678</v>
      </c>
      <c r="H41">
        <f t="shared" si="2"/>
        <v>74.597999999999999</v>
      </c>
      <c r="I41">
        <f t="shared" si="3"/>
        <v>-14.997999999999998</v>
      </c>
      <c r="J41">
        <f t="shared" si="4"/>
        <v>224.94000399999993</v>
      </c>
    </row>
    <row r="42" spans="1:10">
      <c r="A42" s="1">
        <v>13</v>
      </c>
      <c r="B42" s="1">
        <v>89.9</v>
      </c>
      <c r="D42">
        <f t="shared" si="0"/>
        <v>-8.2873015873015845</v>
      </c>
      <c r="E42">
        <f t="shared" si="1"/>
        <v>68.679367598891361</v>
      </c>
      <c r="H42">
        <f t="shared" si="2"/>
        <v>64.358999999999995</v>
      </c>
      <c r="I42">
        <f t="shared" si="3"/>
        <v>25.541000000000011</v>
      </c>
      <c r="J42">
        <f t="shared" si="4"/>
        <v>652.34268100000054</v>
      </c>
    </row>
    <row r="43" spans="1:10">
      <c r="A43" s="1">
        <v>60</v>
      </c>
      <c r="B43" s="1">
        <v>202.4</v>
      </c>
      <c r="D43">
        <f t="shared" si="0"/>
        <v>104.21269841269842</v>
      </c>
      <c r="E43">
        <f t="shared" si="1"/>
        <v>10860.286510456035</v>
      </c>
      <c r="H43">
        <f t="shared" si="2"/>
        <v>224.77</v>
      </c>
      <c r="I43">
        <f t="shared" si="3"/>
        <v>-22.370000000000005</v>
      </c>
      <c r="J43">
        <f t="shared" si="4"/>
        <v>500.41690000000023</v>
      </c>
    </row>
    <row r="44" spans="1:10">
      <c r="A44" s="1">
        <v>41</v>
      </c>
      <c r="B44" s="1">
        <v>181.3</v>
      </c>
      <c r="D44">
        <f t="shared" si="0"/>
        <v>83.112698412698421</v>
      </c>
      <c r="E44">
        <f t="shared" si="1"/>
        <v>6907.720637440163</v>
      </c>
      <c r="H44">
        <f t="shared" si="2"/>
        <v>159.923</v>
      </c>
      <c r="I44">
        <f t="shared" si="3"/>
        <v>21.37700000000001</v>
      </c>
      <c r="J44">
        <f t="shared" si="4"/>
        <v>456.97612900000041</v>
      </c>
    </row>
    <row r="45" spans="1:10">
      <c r="A45" s="1">
        <v>37</v>
      </c>
      <c r="B45" s="1">
        <v>152.80000000000001</v>
      </c>
      <c r="D45">
        <f t="shared" si="0"/>
        <v>54.612698412698421</v>
      </c>
      <c r="E45">
        <f t="shared" si="1"/>
        <v>2982.5468279163529</v>
      </c>
      <c r="H45">
        <f t="shared" si="2"/>
        <v>146.27099999999999</v>
      </c>
      <c r="I45">
        <f t="shared" si="3"/>
        <v>6.5290000000000248</v>
      </c>
      <c r="J45">
        <f t="shared" si="4"/>
        <v>42.627841000000323</v>
      </c>
    </row>
    <row r="46" spans="1:10">
      <c r="A46" s="1">
        <v>55</v>
      </c>
      <c r="B46" s="1">
        <v>162.80000000000001</v>
      </c>
      <c r="D46">
        <f t="shared" si="0"/>
        <v>64.612698412698421</v>
      </c>
      <c r="E46">
        <f t="shared" si="1"/>
        <v>4174.8007961703215</v>
      </c>
      <c r="H46">
        <f t="shared" si="2"/>
        <v>207.70500000000001</v>
      </c>
      <c r="I46">
        <f t="shared" si="3"/>
        <v>-44.905000000000001</v>
      </c>
      <c r="J46">
        <f t="shared" si="4"/>
        <v>2016.4590250000001</v>
      </c>
    </row>
    <row r="47" spans="1:10">
      <c r="A47" s="1">
        <v>41</v>
      </c>
      <c r="B47" s="1">
        <v>73.400000000000006</v>
      </c>
      <c r="D47">
        <f t="shared" si="0"/>
        <v>-24.787301587301585</v>
      </c>
      <c r="E47">
        <f t="shared" si="1"/>
        <v>614.41031997984362</v>
      </c>
      <c r="H47">
        <f t="shared" si="2"/>
        <v>159.923</v>
      </c>
      <c r="I47">
        <f t="shared" si="3"/>
        <v>-86.522999999999996</v>
      </c>
      <c r="J47">
        <f t="shared" si="4"/>
        <v>7486.2295289999993</v>
      </c>
    </row>
    <row r="48" spans="1:10">
      <c r="A48" s="1">
        <v>11</v>
      </c>
      <c r="B48" s="1">
        <v>21.3</v>
      </c>
      <c r="D48">
        <f t="shared" si="0"/>
        <v>-76.887301587301593</v>
      </c>
      <c r="E48">
        <f t="shared" si="1"/>
        <v>5911.6571453766701</v>
      </c>
      <c r="H48">
        <f t="shared" si="2"/>
        <v>57.533000000000001</v>
      </c>
      <c r="I48">
        <f t="shared" si="3"/>
        <v>-36.233000000000004</v>
      </c>
      <c r="J48">
        <f t="shared" si="4"/>
        <v>1312.8302890000002</v>
      </c>
    </row>
    <row r="49" spans="1:10">
      <c r="A49" s="1">
        <v>27</v>
      </c>
      <c r="B49" s="1">
        <v>92.6</v>
      </c>
      <c r="D49">
        <f t="shared" si="0"/>
        <v>-5.5873015873015959</v>
      </c>
      <c r="E49">
        <f t="shared" si="1"/>
        <v>31.217939027462933</v>
      </c>
      <c r="H49">
        <f t="shared" si="2"/>
        <v>112.14099999999999</v>
      </c>
      <c r="I49">
        <f t="shared" si="3"/>
        <v>-19.540999999999997</v>
      </c>
      <c r="J49">
        <f t="shared" si="4"/>
        <v>381.85068099999989</v>
      </c>
    </row>
    <row r="50" spans="1:10">
      <c r="A50" s="1">
        <v>8</v>
      </c>
      <c r="B50" s="1">
        <v>76.099999999999994</v>
      </c>
      <c r="D50">
        <f t="shared" si="0"/>
        <v>-22.087301587301596</v>
      </c>
      <c r="E50">
        <f t="shared" si="1"/>
        <v>487.84889140841562</v>
      </c>
      <c r="H50">
        <f t="shared" si="2"/>
        <v>47.293999999999997</v>
      </c>
      <c r="I50">
        <f t="shared" si="3"/>
        <v>28.805999999999997</v>
      </c>
      <c r="J50">
        <f t="shared" si="4"/>
        <v>829.78563599999984</v>
      </c>
    </row>
    <row r="51" spans="1:10">
      <c r="A51" s="1">
        <v>3</v>
      </c>
      <c r="B51" s="1">
        <v>39.9</v>
      </c>
      <c r="D51">
        <f t="shared" si="0"/>
        <v>-58.287301587301592</v>
      </c>
      <c r="E51">
        <f t="shared" si="1"/>
        <v>3397.4095263290505</v>
      </c>
      <c r="H51">
        <f t="shared" si="2"/>
        <v>30.228999999999999</v>
      </c>
      <c r="I51">
        <f t="shared" si="3"/>
        <v>9.6709999999999994</v>
      </c>
      <c r="J51">
        <f t="shared" si="4"/>
        <v>93.528240999999994</v>
      </c>
    </row>
    <row r="52" spans="1:10">
      <c r="A52" s="1">
        <v>17</v>
      </c>
      <c r="B52" s="1">
        <v>142.1</v>
      </c>
      <c r="D52">
        <f t="shared" si="0"/>
        <v>43.912698412698404</v>
      </c>
      <c r="E52">
        <f t="shared" si="1"/>
        <v>1928.325081884605</v>
      </c>
      <c r="H52">
        <f t="shared" si="2"/>
        <v>78.010999999999996</v>
      </c>
      <c r="I52">
        <f t="shared" si="3"/>
        <v>64.088999999999999</v>
      </c>
      <c r="J52">
        <f t="shared" si="4"/>
        <v>4107.3999210000002</v>
      </c>
    </row>
    <row r="53" spans="1:10">
      <c r="A53" s="1">
        <v>13</v>
      </c>
      <c r="B53" s="1">
        <v>93</v>
      </c>
      <c r="D53">
        <f t="shared" si="0"/>
        <v>-5.1873015873015902</v>
      </c>
      <c r="E53">
        <f t="shared" si="1"/>
        <v>26.908097757621597</v>
      </c>
      <c r="H53">
        <f t="shared" si="2"/>
        <v>64.358999999999995</v>
      </c>
      <c r="I53">
        <f t="shared" si="3"/>
        <v>28.641000000000005</v>
      </c>
      <c r="J53">
        <f t="shared" si="4"/>
        <v>820.30688100000032</v>
      </c>
    </row>
    <row r="54" spans="1:10">
      <c r="A54" s="1">
        <v>13</v>
      </c>
      <c r="B54" s="1">
        <v>31.9</v>
      </c>
      <c r="D54">
        <f t="shared" si="0"/>
        <v>-66.287301587301585</v>
      </c>
      <c r="E54">
        <f t="shared" si="1"/>
        <v>4394.006351725875</v>
      </c>
      <c r="H54">
        <f t="shared" si="2"/>
        <v>64.358999999999995</v>
      </c>
      <c r="I54">
        <f t="shared" si="3"/>
        <v>-32.458999999999996</v>
      </c>
      <c r="J54">
        <f t="shared" si="4"/>
        <v>1053.5866809999998</v>
      </c>
    </row>
    <row r="55" spans="1:10">
      <c r="A55" s="1">
        <v>15</v>
      </c>
      <c r="B55" s="1">
        <v>32.1</v>
      </c>
      <c r="D55">
        <f t="shared" si="0"/>
        <v>-66.087301587301596</v>
      </c>
      <c r="E55">
        <f t="shared" si="1"/>
        <v>4367.5314310909562</v>
      </c>
      <c r="H55">
        <f t="shared" si="2"/>
        <v>71.185000000000002</v>
      </c>
      <c r="I55">
        <f t="shared" si="3"/>
        <v>-39.085000000000001</v>
      </c>
      <c r="J55">
        <f t="shared" si="4"/>
        <v>1527.6372250000002</v>
      </c>
    </row>
    <row r="56" spans="1:10">
      <c r="A56" s="1">
        <v>8</v>
      </c>
      <c r="B56" s="1">
        <v>55.6</v>
      </c>
      <c r="D56">
        <f t="shared" si="0"/>
        <v>-42.587301587301589</v>
      </c>
      <c r="E56">
        <f t="shared" si="1"/>
        <v>1813.6782564877803</v>
      </c>
      <c r="H56">
        <f t="shared" si="2"/>
        <v>47.293999999999997</v>
      </c>
      <c r="I56">
        <f t="shared" si="3"/>
        <v>8.3060000000000045</v>
      </c>
      <c r="J56">
        <f t="shared" si="4"/>
        <v>68.989636000000075</v>
      </c>
    </row>
    <row r="57" spans="1:10">
      <c r="A57" s="1">
        <v>29</v>
      </c>
      <c r="B57" s="1">
        <v>133.30000000000001</v>
      </c>
      <c r="D57">
        <f t="shared" si="0"/>
        <v>35.112698412698421</v>
      </c>
      <c r="E57">
        <f t="shared" si="1"/>
        <v>1232.9015898211142</v>
      </c>
      <c r="H57">
        <f t="shared" si="2"/>
        <v>118.96699999999998</v>
      </c>
      <c r="I57">
        <f t="shared" si="3"/>
        <v>14.333000000000027</v>
      </c>
      <c r="J57">
        <f t="shared" si="4"/>
        <v>205.43488900000077</v>
      </c>
    </row>
    <row r="58" spans="1:10">
      <c r="A58" s="1">
        <v>30</v>
      </c>
      <c r="B58" s="1">
        <v>194.5</v>
      </c>
      <c r="D58">
        <f t="shared" si="0"/>
        <v>96.31269841269841</v>
      </c>
      <c r="E58">
        <f t="shared" si="1"/>
        <v>9276.1358755353995</v>
      </c>
      <c r="H58">
        <f t="shared" si="2"/>
        <v>122.38</v>
      </c>
      <c r="I58">
        <f t="shared" si="3"/>
        <v>72.12</v>
      </c>
      <c r="J58">
        <f t="shared" si="4"/>
        <v>5201.2944000000007</v>
      </c>
    </row>
    <row r="59" spans="1:10">
      <c r="A59" s="1">
        <v>24</v>
      </c>
      <c r="B59" s="1">
        <v>137.9</v>
      </c>
      <c r="D59">
        <f t="shared" si="0"/>
        <v>39.712698412698415</v>
      </c>
      <c r="E59">
        <f t="shared" si="1"/>
        <v>1577.0984152179392</v>
      </c>
      <c r="H59">
        <f t="shared" si="2"/>
        <v>101.90199999999999</v>
      </c>
      <c r="I59">
        <f t="shared" si="3"/>
        <v>35.998000000000019</v>
      </c>
      <c r="J59">
        <f t="shared" si="4"/>
        <v>1295.8560040000013</v>
      </c>
    </row>
    <row r="60" spans="1:10">
      <c r="A60" s="1">
        <v>9</v>
      </c>
      <c r="B60" s="1">
        <v>87.4</v>
      </c>
      <c r="D60">
        <f t="shared" si="0"/>
        <v>-10.787301587301585</v>
      </c>
      <c r="E60">
        <f t="shared" si="1"/>
        <v>116.36587553539928</v>
      </c>
      <c r="H60">
        <f t="shared" si="2"/>
        <v>50.706999999999994</v>
      </c>
      <c r="I60">
        <f t="shared" si="3"/>
        <v>36.693000000000012</v>
      </c>
      <c r="J60">
        <f t="shared" si="4"/>
        <v>1346.3762490000008</v>
      </c>
    </row>
    <row r="61" spans="1:10">
      <c r="A61" s="1">
        <v>31</v>
      </c>
      <c r="B61" s="1">
        <v>209.8</v>
      </c>
      <c r="D61">
        <f t="shared" si="0"/>
        <v>111.61269841269842</v>
      </c>
      <c r="E61">
        <f t="shared" si="1"/>
        <v>12457.394446963972</v>
      </c>
      <c r="H61">
        <f t="shared" si="2"/>
        <v>125.79299999999999</v>
      </c>
      <c r="I61">
        <f t="shared" si="3"/>
        <v>84.007000000000019</v>
      </c>
      <c r="J61">
        <f t="shared" si="4"/>
        <v>7057.1760490000033</v>
      </c>
    </row>
    <row r="62" spans="1:10">
      <c r="A62" s="1">
        <v>14</v>
      </c>
      <c r="B62" s="1">
        <v>95.5</v>
      </c>
      <c r="D62">
        <f t="shared" si="0"/>
        <v>-2.6873015873015902</v>
      </c>
      <c r="E62">
        <f t="shared" si="1"/>
        <v>7.2215898211136462</v>
      </c>
      <c r="H62">
        <f t="shared" si="2"/>
        <v>67.771999999999991</v>
      </c>
      <c r="I62">
        <f t="shared" si="3"/>
        <v>27.728000000000009</v>
      </c>
      <c r="J62">
        <f t="shared" si="4"/>
        <v>768.84198400000048</v>
      </c>
    </row>
    <row r="63" spans="1:10">
      <c r="A63" s="1">
        <v>53</v>
      </c>
      <c r="B63" s="1">
        <v>244.6</v>
      </c>
      <c r="D63">
        <f t="shared" si="0"/>
        <v>146.4126984126984</v>
      </c>
      <c r="E63">
        <f t="shared" si="1"/>
        <v>21436.678256487779</v>
      </c>
      <c r="H63">
        <f t="shared" si="2"/>
        <v>200.87899999999999</v>
      </c>
      <c r="I63">
        <f t="shared" si="3"/>
        <v>43.721000000000004</v>
      </c>
      <c r="J63">
        <f t="shared" si="4"/>
        <v>1911.5258410000004</v>
      </c>
    </row>
    <row r="64" spans="1:10">
      <c r="A64" s="1">
        <v>26</v>
      </c>
      <c r="B64" s="1">
        <v>187.5</v>
      </c>
      <c r="D64">
        <f t="shared" si="0"/>
        <v>89.31269841269841</v>
      </c>
      <c r="E64">
        <f t="shared" si="1"/>
        <v>7976.7580977576208</v>
      </c>
      <c r="H64">
        <f t="shared" si="2"/>
        <v>108.72799999999999</v>
      </c>
      <c r="I64">
        <f t="shared" si="3"/>
        <v>78.772000000000006</v>
      </c>
      <c r="J64">
        <f t="shared" si="4"/>
        <v>6205.0279840000012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"/>
  <sheetViews>
    <sheetView topLeftCell="C1" workbookViewId="0">
      <selection activeCell="E2" sqref="E2"/>
    </sheetView>
  </sheetViews>
  <sheetFormatPr defaultRowHeight="15"/>
  <cols>
    <col min="1" max="1" width="31.85546875" bestFit="1" customWidth="1"/>
    <col min="2" max="2" width="42.5703125" bestFit="1" customWidth="1"/>
    <col min="3" max="3" width="42.5703125" customWidth="1"/>
    <col min="4" max="4" width="16.7109375" bestFit="1" customWidth="1"/>
    <col min="5" max="5" width="12" bestFit="1" customWidth="1"/>
  </cols>
  <sheetData>
    <row r="1" spans="1:5">
      <c r="A1" s="1" t="s">
        <v>15</v>
      </c>
      <c r="B1" s="1" t="s">
        <v>14</v>
      </c>
      <c r="C1" s="1" t="s">
        <v>18</v>
      </c>
      <c r="D1" t="s">
        <v>16</v>
      </c>
      <c r="E1" t="s">
        <v>17</v>
      </c>
    </row>
    <row r="2" spans="1:5">
      <c r="A2" s="1">
        <v>108</v>
      </c>
      <c r="B2" s="1">
        <v>392.5</v>
      </c>
      <c r="C2" s="1">
        <f>AVERAGE(B2:B13)</f>
        <v>154.13333333333333</v>
      </c>
      <c r="D2">
        <f>(3.507*A2)+6.226</f>
        <v>384.98200000000003</v>
      </c>
      <c r="E2">
        <f>B2-$C$2</f>
        <v>238.36666666666667</v>
      </c>
    </row>
    <row r="3" spans="1:5">
      <c r="A3" s="1">
        <v>19</v>
      </c>
      <c r="B3" s="1">
        <v>46.2</v>
      </c>
      <c r="C3" s="1"/>
      <c r="D3">
        <f t="shared" ref="D3:D13" si="0">(3.507*A3)+6.226</f>
        <v>72.858999999999995</v>
      </c>
      <c r="E3">
        <f t="shared" ref="E3:E13" si="1">B3-$C$2</f>
        <v>-107.93333333333332</v>
      </c>
    </row>
    <row r="4" spans="1:5">
      <c r="A4" s="1">
        <v>13</v>
      </c>
      <c r="B4" s="1">
        <v>15.7</v>
      </c>
      <c r="C4" s="1"/>
      <c r="D4">
        <f t="shared" si="0"/>
        <v>51.817</v>
      </c>
      <c r="E4">
        <f t="shared" si="1"/>
        <v>-138.43333333333334</v>
      </c>
    </row>
    <row r="5" spans="1:5">
      <c r="A5" s="1">
        <v>124</v>
      </c>
      <c r="B5" s="1">
        <v>422.2</v>
      </c>
      <c r="C5" s="1"/>
      <c r="D5">
        <f t="shared" si="0"/>
        <v>441.09399999999999</v>
      </c>
      <c r="E5">
        <f t="shared" si="1"/>
        <v>268.06666666666666</v>
      </c>
    </row>
    <row r="6" spans="1:5">
      <c r="A6" s="1">
        <v>40</v>
      </c>
      <c r="B6" s="1">
        <v>119.4</v>
      </c>
      <c r="C6" s="1"/>
      <c r="D6">
        <f t="shared" si="0"/>
        <v>146.506</v>
      </c>
      <c r="E6">
        <f t="shared" si="1"/>
        <v>-34.73333333333332</v>
      </c>
    </row>
    <row r="7" spans="1:5">
      <c r="A7" s="1">
        <v>57</v>
      </c>
      <c r="B7" s="1">
        <v>170.9</v>
      </c>
      <c r="C7" s="1"/>
      <c r="D7">
        <f t="shared" si="0"/>
        <v>206.125</v>
      </c>
      <c r="E7">
        <f t="shared" si="1"/>
        <v>16.76666666666668</v>
      </c>
    </row>
    <row r="8" spans="1:5">
      <c r="A8" s="1">
        <v>23</v>
      </c>
      <c r="B8" s="1">
        <v>56.9</v>
      </c>
      <c r="C8" s="1"/>
      <c r="D8">
        <f t="shared" si="0"/>
        <v>86.887</v>
      </c>
      <c r="E8">
        <f t="shared" si="1"/>
        <v>-97.23333333333332</v>
      </c>
    </row>
    <row r="9" spans="1:5">
      <c r="A9" s="1">
        <v>14</v>
      </c>
      <c r="B9" s="1">
        <v>77.5</v>
      </c>
      <c r="C9" s="1"/>
      <c r="D9">
        <f t="shared" si="0"/>
        <v>55.323999999999998</v>
      </c>
      <c r="E9">
        <f t="shared" si="1"/>
        <v>-76.633333333333326</v>
      </c>
    </row>
    <row r="10" spans="1:5">
      <c r="A10" s="1">
        <v>45</v>
      </c>
      <c r="B10" s="1">
        <v>214</v>
      </c>
      <c r="C10" s="1"/>
      <c r="D10">
        <f t="shared" si="0"/>
        <v>164.041</v>
      </c>
      <c r="E10">
        <f t="shared" si="1"/>
        <v>59.866666666666674</v>
      </c>
    </row>
    <row r="11" spans="1:5">
      <c r="A11" s="1">
        <v>10</v>
      </c>
      <c r="B11" s="1">
        <v>65.3</v>
      </c>
      <c r="C11" s="1"/>
      <c r="D11">
        <f t="shared" si="0"/>
        <v>41.295999999999999</v>
      </c>
      <c r="E11">
        <f t="shared" si="1"/>
        <v>-88.833333333333329</v>
      </c>
    </row>
    <row r="12" spans="1:5">
      <c r="A12" s="1">
        <v>5</v>
      </c>
      <c r="B12" s="1">
        <v>20.9</v>
      </c>
      <c r="C12" s="1"/>
      <c r="D12">
        <f t="shared" si="0"/>
        <v>23.760999999999999</v>
      </c>
      <c r="E12">
        <f t="shared" si="1"/>
        <v>-133.23333333333332</v>
      </c>
    </row>
    <row r="13" spans="1:5">
      <c r="A13" s="1">
        <v>48</v>
      </c>
      <c r="B13" s="1">
        <v>248.1</v>
      </c>
      <c r="C13" s="1"/>
      <c r="D13">
        <f t="shared" si="0"/>
        <v>174.56200000000001</v>
      </c>
      <c r="E13">
        <f t="shared" si="1"/>
        <v>93.966666666666669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selection activeCell="L7" sqref="L7"/>
    </sheetView>
  </sheetViews>
  <sheetFormatPr defaultRowHeight="15"/>
  <cols>
    <col min="4" max="4" width="18.42578125" bestFit="1" customWidth="1"/>
    <col min="5" max="5" width="32.140625" bestFit="1" customWidth="1"/>
    <col min="7" max="7" width="10" bestFit="1" customWidth="1"/>
    <col min="8" max="8" width="10.7109375" bestFit="1" customWidth="1"/>
    <col min="9" max="9" width="16.140625" bestFit="1" customWidth="1"/>
  </cols>
  <sheetData>
    <row r="1" spans="1:9">
      <c r="A1" s="1" t="s">
        <v>0</v>
      </c>
      <c r="B1" s="1" t="s">
        <v>1</v>
      </c>
      <c r="C1" t="s">
        <v>2</v>
      </c>
      <c r="D1" t="s">
        <v>3</v>
      </c>
      <c r="E1" t="s">
        <v>12</v>
      </c>
      <c r="F1" t="s">
        <v>8</v>
      </c>
      <c r="G1" t="s">
        <v>9</v>
      </c>
      <c r="H1" t="s">
        <v>10</v>
      </c>
      <c r="I1" t="s">
        <v>11</v>
      </c>
    </row>
    <row r="2" spans="1:9">
      <c r="A2" s="1"/>
      <c r="B2" s="1"/>
      <c r="D2" t="s">
        <v>4</v>
      </c>
    </row>
    <row r="3" spans="1:9">
      <c r="A3" s="1">
        <v>0</v>
      </c>
      <c r="B3" s="1">
        <v>2</v>
      </c>
      <c r="D3">
        <f>AVERAGE(B3:B5)</f>
        <v>4</v>
      </c>
      <c r="E3">
        <f>(3*A3)+2</f>
        <v>2</v>
      </c>
      <c r="F3">
        <f>B3-E3</f>
        <v>0</v>
      </c>
      <c r="G3">
        <f>F3^2</f>
        <v>0</v>
      </c>
      <c r="H3">
        <f>B3-$D$3</f>
        <v>-2</v>
      </c>
      <c r="I3">
        <f>H3^2</f>
        <v>4</v>
      </c>
    </row>
    <row r="4" spans="1:9">
      <c r="A4" s="1">
        <v>1</v>
      </c>
      <c r="B4" s="1">
        <v>2</v>
      </c>
      <c r="E4">
        <f t="shared" ref="E4:E5" si="0">(3*A4)+2</f>
        <v>5</v>
      </c>
      <c r="F4">
        <f t="shared" ref="F4:F5" si="1">B4-E4</f>
        <v>-3</v>
      </c>
      <c r="G4">
        <f t="shared" ref="G4:G5" si="2">F4^2</f>
        <v>9</v>
      </c>
      <c r="H4">
        <f t="shared" ref="H4:H5" si="3">B4-$D$3</f>
        <v>-2</v>
      </c>
      <c r="I4">
        <f t="shared" ref="I4:I5" si="4">H4^2</f>
        <v>4</v>
      </c>
    </row>
    <row r="5" spans="1:9">
      <c r="A5" s="1">
        <v>1</v>
      </c>
      <c r="B5" s="1">
        <v>8</v>
      </c>
      <c r="E5">
        <f t="shared" si="0"/>
        <v>5</v>
      </c>
      <c r="F5">
        <f t="shared" si="1"/>
        <v>3</v>
      </c>
      <c r="G5">
        <f t="shared" si="2"/>
        <v>9</v>
      </c>
      <c r="H5">
        <f t="shared" si="3"/>
        <v>4</v>
      </c>
      <c r="I5">
        <f t="shared" si="4"/>
        <v>16</v>
      </c>
    </row>
    <row r="6" spans="1:9">
      <c r="A6" s="1"/>
      <c r="B6" s="1"/>
    </row>
    <row r="7" spans="1:9">
      <c r="A7" s="1"/>
      <c r="B7" s="1"/>
      <c r="D7" t="s">
        <v>5</v>
      </c>
      <c r="G7">
        <f>SUM(G3:G5)</f>
        <v>18</v>
      </c>
    </row>
    <row r="8" spans="1:9">
      <c r="A8" s="1"/>
      <c r="B8" s="1"/>
      <c r="D8" t="s">
        <v>6</v>
      </c>
      <c r="I8">
        <f>SUM(I3:I5)</f>
        <v>24</v>
      </c>
    </row>
    <row r="9" spans="1:9">
      <c r="A9" s="1"/>
      <c r="B9" s="1"/>
      <c r="D9" t="s">
        <v>7</v>
      </c>
      <c r="F9">
        <f>1-(G7/I8)</f>
        <v>0.25</v>
      </c>
    </row>
    <row r="10" spans="1:9">
      <c r="A10" s="1"/>
      <c r="B10" s="1"/>
    </row>
    <row r="11" spans="1:9">
      <c r="A11" s="1"/>
      <c r="B11" s="1"/>
      <c r="D11" t="s">
        <v>7</v>
      </c>
      <c r="E11" t="s">
        <v>13</v>
      </c>
    </row>
    <row r="12" spans="1:9">
      <c r="A12" s="1"/>
      <c r="B12" s="1"/>
    </row>
    <row r="13" spans="1:9">
      <c r="A13" s="1"/>
      <c r="B1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ClaimsVsPayment</vt:lpstr>
      <vt:lpstr>sample_data</vt:lpstr>
      <vt:lpstr>Reg_calculations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2020-03-08T06:26:40Z</dcterms:created>
  <dcterms:modified xsi:type="dcterms:W3CDTF">2020-03-17T16:03:53Z</dcterms:modified>
</cp:coreProperties>
</file>