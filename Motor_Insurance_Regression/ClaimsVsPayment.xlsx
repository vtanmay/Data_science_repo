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2"/>
  </bookViews>
  <sheets>
    <sheet name="ClaimsVsPayment" sheetId="1" r:id="rId1"/>
    <sheet name="sample_data" sheetId="2" r:id="rId2"/>
    <sheet name="Reg_calculations" sheetId="3" r:id="rId3"/>
  </sheets>
  <calcPr calcId="124519"/>
</workbook>
</file>

<file path=xl/calcChain.xml><?xml version="1.0" encoding="utf-8"?>
<calcChain xmlns="http://schemas.openxmlformats.org/spreadsheetml/2006/main">
  <c r="F9" i="3"/>
  <c r="G7"/>
  <c r="I8"/>
  <c r="I4"/>
  <c r="I5"/>
  <c r="I3"/>
  <c r="H4"/>
  <c r="H5"/>
  <c r="H3"/>
  <c r="G4"/>
  <c r="G5"/>
  <c r="G3"/>
  <c r="F4"/>
  <c r="F5"/>
  <c r="F3"/>
  <c r="E4"/>
  <c r="E5"/>
  <c r="E3"/>
  <c r="D3"/>
</calcChain>
</file>

<file path=xl/sharedStrings.xml><?xml version="1.0" encoding="utf-8"?>
<sst xmlns="http://schemas.openxmlformats.org/spreadsheetml/2006/main" count="19" uniqueCount="18">
  <si>
    <t>X(independent)</t>
  </si>
  <si>
    <t>Y(dependent)</t>
  </si>
  <si>
    <t>X(independent)-number of claims</t>
  </si>
  <si>
    <t>Y(dependent)-total payment for all the claims</t>
  </si>
  <si>
    <t>Xi</t>
  </si>
  <si>
    <t>Yi</t>
  </si>
  <si>
    <t>y=3x+2</t>
  </si>
  <si>
    <t>Baseline prediction</t>
  </si>
  <si>
    <t>avg of Y values</t>
  </si>
  <si>
    <t>SSE</t>
  </si>
  <si>
    <t>SST</t>
  </si>
  <si>
    <t>R^2</t>
  </si>
  <si>
    <t>yi-y^</t>
  </si>
  <si>
    <t>(yi-y^)sqre</t>
  </si>
  <si>
    <t>yi-mean(y)</t>
  </si>
  <si>
    <t>(yi-mean(y))sqre</t>
  </si>
  <si>
    <t>Y^ (Predicted)</t>
  </si>
  <si>
    <t>explained variation/total variation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</si>
</sst>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strRef>
              <c:f>ClaimsVsPayment!$B$1</c:f>
              <c:strCache>
                <c:ptCount val="1"/>
                <c:pt idx="0">
                  <c:v>Y(dependent)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Eq val="1"/>
            <c:trendlineLbl>
              <c:numFmt formatCode="General" sourceLinked="0"/>
            </c:trendlineLbl>
          </c:trendline>
          <c:xVal>
            <c:numRef>
              <c:f>ClaimsVsPayment!$A$2:$A$64</c:f>
              <c:numCache>
                <c:formatCode>General</c:formatCode>
                <c:ptCount val="63"/>
                <c:pt idx="0">
                  <c:v>108</c:v>
                </c:pt>
                <c:pt idx="1">
                  <c:v>19</c:v>
                </c:pt>
                <c:pt idx="2">
                  <c:v>13</c:v>
                </c:pt>
                <c:pt idx="3">
                  <c:v>124</c:v>
                </c:pt>
                <c:pt idx="4">
                  <c:v>40</c:v>
                </c:pt>
                <c:pt idx="5">
                  <c:v>57</c:v>
                </c:pt>
                <c:pt idx="6">
                  <c:v>23</c:v>
                </c:pt>
                <c:pt idx="7">
                  <c:v>14</c:v>
                </c:pt>
                <c:pt idx="8">
                  <c:v>45</c:v>
                </c:pt>
                <c:pt idx="9">
                  <c:v>10</c:v>
                </c:pt>
                <c:pt idx="10">
                  <c:v>5</c:v>
                </c:pt>
                <c:pt idx="11">
                  <c:v>48</c:v>
                </c:pt>
                <c:pt idx="12">
                  <c:v>11</c:v>
                </c:pt>
                <c:pt idx="13">
                  <c:v>23</c:v>
                </c:pt>
                <c:pt idx="14">
                  <c:v>7</c:v>
                </c:pt>
                <c:pt idx="15">
                  <c:v>2</c:v>
                </c:pt>
                <c:pt idx="16">
                  <c:v>24</c:v>
                </c:pt>
                <c:pt idx="17">
                  <c:v>6</c:v>
                </c:pt>
                <c:pt idx="18">
                  <c:v>3</c:v>
                </c:pt>
                <c:pt idx="19">
                  <c:v>23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3</c:v>
                </c:pt>
                <c:pt idx="24">
                  <c:v>29</c:v>
                </c:pt>
                <c:pt idx="25">
                  <c:v>7</c:v>
                </c:pt>
                <c:pt idx="26">
                  <c:v>4</c:v>
                </c:pt>
                <c:pt idx="27">
                  <c:v>20</c:v>
                </c:pt>
                <c:pt idx="28">
                  <c:v>7</c:v>
                </c:pt>
                <c:pt idx="29">
                  <c:v>4</c:v>
                </c:pt>
                <c:pt idx="30">
                  <c:v>0</c:v>
                </c:pt>
                <c:pt idx="31">
                  <c:v>25</c:v>
                </c:pt>
                <c:pt idx="32">
                  <c:v>6</c:v>
                </c:pt>
                <c:pt idx="33">
                  <c:v>5</c:v>
                </c:pt>
                <c:pt idx="34">
                  <c:v>22</c:v>
                </c:pt>
                <c:pt idx="35">
                  <c:v>11</c:v>
                </c:pt>
                <c:pt idx="36">
                  <c:v>61</c:v>
                </c:pt>
                <c:pt idx="37">
                  <c:v>12</c:v>
                </c:pt>
                <c:pt idx="38">
                  <c:v>4</c:v>
                </c:pt>
                <c:pt idx="39">
                  <c:v>16</c:v>
                </c:pt>
                <c:pt idx="40">
                  <c:v>13</c:v>
                </c:pt>
                <c:pt idx="41">
                  <c:v>60</c:v>
                </c:pt>
                <c:pt idx="42">
                  <c:v>41</c:v>
                </c:pt>
                <c:pt idx="43">
                  <c:v>37</c:v>
                </c:pt>
                <c:pt idx="44">
                  <c:v>55</c:v>
                </c:pt>
                <c:pt idx="45">
                  <c:v>41</c:v>
                </c:pt>
                <c:pt idx="46">
                  <c:v>11</c:v>
                </c:pt>
                <c:pt idx="47">
                  <c:v>27</c:v>
                </c:pt>
                <c:pt idx="48">
                  <c:v>8</c:v>
                </c:pt>
                <c:pt idx="49">
                  <c:v>3</c:v>
                </c:pt>
                <c:pt idx="50">
                  <c:v>17</c:v>
                </c:pt>
                <c:pt idx="51">
                  <c:v>13</c:v>
                </c:pt>
                <c:pt idx="52">
                  <c:v>13</c:v>
                </c:pt>
                <c:pt idx="53">
                  <c:v>15</c:v>
                </c:pt>
                <c:pt idx="54">
                  <c:v>8</c:v>
                </c:pt>
                <c:pt idx="55">
                  <c:v>29</c:v>
                </c:pt>
                <c:pt idx="56">
                  <c:v>30</c:v>
                </c:pt>
                <c:pt idx="57">
                  <c:v>24</c:v>
                </c:pt>
                <c:pt idx="58">
                  <c:v>9</c:v>
                </c:pt>
                <c:pt idx="59">
                  <c:v>31</c:v>
                </c:pt>
                <c:pt idx="60">
                  <c:v>14</c:v>
                </c:pt>
                <c:pt idx="61">
                  <c:v>53</c:v>
                </c:pt>
                <c:pt idx="62">
                  <c:v>26</c:v>
                </c:pt>
              </c:numCache>
            </c:numRef>
          </c:xVal>
          <c:yVal>
            <c:numRef>
              <c:f>ClaimsVsPayment!$B$2:$B$64</c:f>
              <c:numCache>
                <c:formatCode>General</c:formatCode>
                <c:ptCount val="63"/>
                <c:pt idx="0">
                  <c:v>392.5</c:v>
                </c:pt>
                <c:pt idx="1">
                  <c:v>46.2</c:v>
                </c:pt>
                <c:pt idx="2">
                  <c:v>15.7</c:v>
                </c:pt>
                <c:pt idx="3">
                  <c:v>422.2</c:v>
                </c:pt>
                <c:pt idx="4">
                  <c:v>119.4</c:v>
                </c:pt>
                <c:pt idx="5">
                  <c:v>170.9</c:v>
                </c:pt>
                <c:pt idx="6">
                  <c:v>56.9</c:v>
                </c:pt>
                <c:pt idx="7">
                  <c:v>77.5</c:v>
                </c:pt>
                <c:pt idx="8">
                  <c:v>214</c:v>
                </c:pt>
                <c:pt idx="9">
                  <c:v>65.3</c:v>
                </c:pt>
                <c:pt idx="10">
                  <c:v>20.9</c:v>
                </c:pt>
                <c:pt idx="11">
                  <c:v>248.1</c:v>
                </c:pt>
                <c:pt idx="12">
                  <c:v>23.5</c:v>
                </c:pt>
                <c:pt idx="13">
                  <c:v>39.6</c:v>
                </c:pt>
                <c:pt idx="14">
                  <c:v>48.8</c:v>
                </c:pt>
                <c:pt idx="15">
                  <c:v>6.6</c:v>
                </c:pt>
                <c:pt idx="16">
                  <c:v>134.9</c:v>
                </c:pt>
                <c:pt idx="17">
                  <c:v>50.9</c:v>
                </c:pt>
                <c:pt idx="18">
                  <c:v>4.4000000000000004</c:v>
                </c:pt>
                <c:pt idx="19">
                  <c:v>113</c:v>
                </c:pt>
                <c:pt idx="20">
                  <c:v>14.8</c:v>
                </c:pt>
                <c:pt idx="21">
                  <c:v>48.7</c:v>
                </c:pt>
                <c:pt idx="22">
                  <c:v>52.1</c:v>
                </c:pt>
                <c:pt idx="23">
                  <c:v>13.2</c:v>
                </c:pt>
                <c:pt idx="24">
                  <c:v>103.9</c:v>
                </c:pt>
                <c:pt idx="25">
                  <c:v>77.5</c:v>
                </c:pt>
                <c:pt idx="26">
                  <c:v>11.8</c:v>
                </c:pt>
                <c:pt idx="27">
                  <c:v>98.1</c:v>
                </c:pt>
                <c:pt idx="28">
                  <c:v>27.9</c:v>
                </c:pt>
                <c:pt idx="29">
                  <c:v>38.1</c:v>
                </c:pt>
                <c:pt idx="30">
                  <c:v>0</c:v>
                </c:pt>
                <c:pt idx="31">
                  <c:v>69.2</c:v>
                </c:pt>
                <c:pt idx="32">
                  <c:v>14.6</c:v>
                </c:pt>
                <c:pt idx="33">
                  <c:v>40.299999999999997</c:v>
                </c:pt>
                <c:pt idx="34">
                  <c:v>161.5</c:v>
                </c:pt>
                <c:pt idx="35">
                  <c:v>57.2</c:v>
                </c:pt>
                <c:pt idx="36">
                  <c:v>217.6</c:v>
                </c:pt>
                <c:pt idx="37">
                  <c:v>58.1</c:v>
                </c:pt>
                <c:pt idx="38">
                  <c:v>12.6</c:v>
                </c:pt>
                <c:pt idx="39">
                  <c:v>59.6</c:v>
                </c:pt>
                <c:pt idx="40">
                  <c:v>89.9</c:v>
                </c:pt>
                <c:pt idx="41">
                  <c:v>202.4</c:v>
                </c:pt>
                <c:pt idx="42">
                  <c:v>181.3</c:v>
                </c:pt>
                <c:pt idx="43">
                  <c:v>152.80000000000001</c:v>
                </c:pt>
                <c:pt idx="44">
                  <c:v>162.80000000000001</c:v>
                </c:pt>
                <c:pt idx="45">
                  <c:v>73.400000000000006</c:v>
                </c:pt>
                <c:pt idx="46">
                  <c:v>21.3</c:v>
                </c:pt>
                <c:pt idx="47">
                  <c:v>92.6</c:v>
                </c:pt>
                <c:pt idx="48">
                  <c:v>76.099999999999994</c:v>
                </c:pt>
                <c:pt idx="49">
                  <c:v>39.9</c:v>
                </c:pt>
                <c:pt idx="50">
                  <c:v>142.1</c:v>
                </c:pt>
                <c:pt idx="51">
                  <c:v>93</c:v>
                </c:pt>
                <c:pt idx="52">
                  <c:v>31.9</c:v>
                </c:pt>
                <c:pt idx="53">
                  <c:v>32.1</c:v>
                </c:pt>
                <c:pt idx="54">
                  <c:v>55.6</c:v>
                </c:pt>
                <c:pt idx="55">
                  <c:v>133.30000000000001</c:v>
                </c:pt>
                <c:pt idx="56">
                  <c:v>194.5</c:v>
                </c:pt>
                <c:pt idx="57">
                  <c:v>137.9</c:v>
                </c:pt>
                <c:pt idx="58">
                  <c:v>87.4</c:v>
                </c:pt>
                <c:pt idx="59">
                  <c:v>209.8</c:v>
                </c:pt>
                <c:pt idx="60">
                  <c:v>95.5</c:v>
                </c:pt>
                <c:pt idx="61">
                  <c:v>244.6</c:v>
                </c:pt>
                <c:pt idx="62">
                  <c:v>187.5</c:v>
                </c:pt>
              </c:numCache>
            </c:numRef>
          </c:yVal>
        </c:ser>
        <c:axId val="67628416"/>
        <c:axId val="67708032"/>
      </c:scatterChart>
      <c:valAx>
        <c:axId val="67628416"/>
        <c:scaling>
          <c:orientation val="minMax"/>
        </c:scaling>
        <c:axPos val="b"/>
        <c:numFmt formatCode="General" sourceLinked="1"/>
        <c:tickLblPos val="nextTo"/>
        <c:crossAx val="67708032"/>
        <c:crosses val="autoZero"/>
        <c:crossBetween val="midCat"/>
      </c:valAx>
      <c:valAx>
        <c:axId val="67708032"/>
        <c:scaling>
          <c:orientation val="minMax"/>
        </c:scaling>
        <c:axPos val="l"/>
        <c:majorGridlines/>
        <c:numFmt formatCode="General" sourceLinked="1"/>
        <c:tickLblPos val="nextTo"/>
        <c:crossAx val="6762841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sample_data!$B$1</c:f>
              <c:strCache>
                <c:ptCount val="1"/>
                <c:pt idx="0">
                  <c:v>Y(dependent)-total payment for all the claims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Eq val="1"/>
            <c:trendlineLbl>
              <c:layout/>
              <c:numFmt formatCode="General" sourceLinked="0"/>
            </c:trendlineLbl>
          </c:trendline>
          <c:trendline>
            <c:trendlineType val="linear"/>
          </c:trendline>
          <c:xVal>
            <c:numRef>
              <c:f>sample_data!$A$2:$A$13</c:f>
              <c:numCache>
                <c:formatCode>General</c:formatCode>
                <c:ptCount val="12"/>
                <c:pt idx="0">
                  <c:v>108</c:v>
                </c:pt>
                <c:pt idx="1">
                  <c:v>19</c:v>
                </c:pt>
                <c:pt idx="2">
                  <c:v>13</c:v>
                </c:pt>
                <c:pt idx="3">
                  <c:v>124</c:v>
                </c:pt>
                <c:pt idx="4">
                  <c:v>40</c:v>
                </c:pt>
                <c:pt idx="5">
                  <c:v>57</c:v>
                </c:pt>
                <c:pt idx="6">
                  <c:v>23</c:v>
                </c:pt>
                <c:pt idx="7">
                  <c:v>14</c:v>
                </c:pt>
                <c:pt idx="8">
                  <c:v>45</c:v>
                </c:pt>
                <c:pt idx="9">
                  <c:v>10</c:v>
                </c:pt>
                <c:pt idx="10">
                  <c:v>5</c:v>
                </c:pt>
                <c:pt idx="11">
                  <c:v>48</c:v>
                </c:pt>
              </c:numCache>
            </c:numRef>
          </c:xVal>
          <c:yVal>
            <c:numRef>
              <c:f>sample_data!$B$2:$B$13</c:f>
              <c:numCache>
                <c:formatCode>General</c:formatCode>
                <c:ptCount val="12"/>
                <c:pt idx="0">
                  <c:v>392.5</c:v>
                </c:pt>
                <c:pt idx="1">
                  <c:v>46.2</c:v>
                </c:pt>
                <c:pt idx="2">
                  <c:v>15.7</c:v>
                </c:pt>
                <c:pt idx="3">
                  <c:v>422.2</c:v>
                </c:pt>
                <c:pt idx="4">
                  <c:v>119.4</c:v>
                </c:pt>
                <c:pt idx="5">
                  <c:v>170.9</c:v>
                </c:pt>
                <c:pt idx="6">
                  <c:v>56.9</c:v>
                </c:pt>
                <c:pt idx="7">
                  <c:v>77.5</c:v>
                </c:pt>
                <c:pt idx="8">
                  <c:v>214</c:v>
                </c:pt>
                <c:pt idx="9">
                  <c:v>65.3</c:v>
                </c:pt>
                <c:pt idx="10">
                  <c:v>20.9</c:v>
                </c:pt>
                <c:pt idx="11">
                  <c:v>248.1</c:v>
                </c:pt>
              </c:numCache>
            </c:numRef>
          </c:yVal>
        </c:ser>
        <c:axId val="67758720"/>
        <c:axId val="67895680"/>
      </c:scatterChart>
      <c:valAx>
        <c:axId val="67758720"/>
        <c:scaling>
          <c:orientation val="minMax"/>
        </c:scaling>
        <c:axPos val="b"/>
        <c:numFmt formatCode="General" sourceLinked="1"/>
        <c:tickLblPos val="nextTo"/>
        <c:crossAx val="67895680"/>
        <c:crosses val="autoZero"/>
        <c:crossBetween val="midCat"/>
      </c:valAx>
      <c:valAx>
        <c:axId val="67895680"/>
        <c:scaling>
          <c:orientation val="minMax"/>
        </c:scaling>
        <c:axPos val="l"/>
        <c:majorGridlines/>
        <c:numFmt formatCode="General" sourceLinked="1"/>
        <c:tickLblPos val="nextTo"/>
        <c:crossAx val="677587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Reg_calculations!$B$1</c:f>
              <c:strCache>
                <c:ptCount val="1"/>
                <c:pt idx="0">
                  <c:v>Yi</c:v>
                </c:pt>
              </c:strCache>
            </c:strRef>
          </c:tx>
          <c:spPr>
            <a:ln w="28575">
              <a:noFill/>
            </a:ln>
          </c:spPr>
          <c:xVal>
            <c:numRef>
              <c:f>Reg_calculations!$A$2:$A$5</c:f>
              <c:numCache>
                <c:formatCode>General</c:formatCode>
                <c:ptCount val="4"/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xVal>
          <c:yVal>
            <c:numRef>
              <c:f>Reg_calculations!$B$2:$B$5</c:f>
              <c:numCache>
                <c:formatCode>General</c:formatCode>
                <c:ptCount val="4"/>
                <c:pt idx="1">
                  <c:v>2</c:v>
                </c:pt>
                <c:pt idx="2">
                  <c:v>2</c:v>
                </c:pt>
                <c:pt idx="3">
                  <c:v>8</c:v>
                </c:pt>
              </c:numCache>
            </c:numRef>
          </c:yVal>
        </c:ser>
        <c:axId val="67948928"/>
        <c:axId val="67950464"/>
      </c:scatterChart>
      <c:valAx>
        <c:axId val="67948928"/>
        <c:scaling>
          <c:orientation val="minMax"/>
        </c:scaling>
        <c:axPos val="b"/>
        <c:numFmt formatCode="General" sourceLinked="1"/>
        <c:tickLblPos val="nextTo"/>
        <c:crossAx val="67950464"/>
        <c:crosses val="autoZero"/>
        <c:crossBetween val="midCat"/>
      </c:valAx>
      <c:valAx>
        <c:axId val="67950464"/>
        <c:scaling>
          <c:orientation val="minMax"/>
        </c:scaling>
        <c:axPos val="l"/>
        <c:majorGridlines/>
        <c:numFmt formatCode="General" sourceLinked="1"/>
        <c:tickLblPos val="nextTo"/>
        <c:crossAx val="679489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5</xdr:row>
      <xdr:rowOff>161925</xdr:rowOff>
    </xdr:from>
    <xdr:to>
      <xdr:col>13</xdr:col>
      <xdr:colOff>238125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5</xdr:row>
      <xdr:rowOff>161925</xdr:rowOff>
    </xdr:from>
    <xdr:to>
      <xdr:col>13</xdr:col>
      <xdr:colOff>95250</xdr:colOff>
      <xdr:row>20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6</xdr:row>
      <xdr:rowOff>95250</xdr:rowOff>
    </xdr:from>
    <xdr:to>
      <xdr:col>19</xdr:col>
      <xdr:colOff>47625</xdr:colOff>
      <xdr:row>20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workbookViewId="0">
      <selection activeCell="B23" sqref="B23"/>
    </sheetView>
  </sheetViews>
  <sheetFormatPr defaultRowHeight="15"/>
  <cols>
    <col min="1" max="1" width="15.28515625" bestFit="1" customWidth="1"/>
    <col min="2" max="2" width="14.28515625" customWidth="1"/>
  </cols>
  <sheetData>
    <row r="1" spans="1:2">
      <c r="A1" s="1" t="s">
        <v>0</v>
      </c>
      <c r="B1" s="1" t="s">
        <v>1</v>
      </c>
    </row>
    <row r="2" spans="1:2">
      <c r="A2" s="1">
        <v>108</v>
      </c>
      <c r="B2" s="1">
        <v>392.5</v>
      </c>
    </row>
    <row r="3" spans="1:2">
      <c r="A3" s="1">
        <v>19</v>
      </c>
      <c r="B3" s="1">
        <v>46.2</v>
      </c>
    </row>
    <row r="4" spans="1:2">
      <c r="A4" s="1">
        <v>13</v>
      </c>
      <c r="B4" s="1">
        <v>15.7</v>
      </c>
    </row>
    <row r="5" spans="1:2">
      <c r="A5" s="1">
        <v>124</v>
      </c>
      <c r="B5" s="1">
        <v>422.2</v>
      </c>
    </row>
    <row r="6" spans="1:2">
      <c r="A6" s="1">
        <v>40</v>
      </c>
      <c r="B6" s="1">
        <v>119.4</v>
      </c>
    </row>
    <row r="7" spans="1:2">
      <c r="A7" s="1">
        <v>57</v>
      </c>
      <c r="B7" s="1">
        <v>170.9</v>
      </c>
    </row>
    <row r="8" spans="1:2">
      <c r="A8" s="1">
        <v>23</v>
      </c>
      <c r="B8" s="1">
        <v>56.9</v>
      </c>
    </row>
    <row r="9" spans="1:2">
      <c r="A9" s="1">
        <v>14</v>
      </c>
      <c r="B9" s="1">
        <v>77.5</v>
      </c>
    </row>
    <row r="10" spans="1:2">
      <c r="A10" s="1">
        <v>45</v>
      </c>
      <c r="B10" s="1">
        <v>214</v>
      </c>
    </row>
    <row r="11" spans="1:2">
      <c r="A11" s="1">
        <v>10</v>
      </c>
      <c r="B11" s="1">
        <v>65.3</v>
      </c>
    </row>
    <row r="12" spans="1:2">
      <c r="A12" s="1">
        <v>5</v>
      </c>
      <c r="B12" s="1">
        <v>20.9</v>
      </c>
    </row>
    <row r="13" spans="1:2">
      <c r="A13" s="1">
        <v>48</v>
      </c>
      <c r="B13" s="1">
        <v>248.1</v>
      </c>
    </row>
    <row r="14" spans="1:2">
      <c r="A14" s="1">
        <v>11</v>
      </c>
      <c r="B14" s="1">
        <v>23.5</v>
      </c>
    </row>
    <row r="15" spans="1:2">
      <c r="A15" s="1">
        <v>23</v>
      </c>
      <c r="B15" s="1">
        <v>39.6</v>
      </c>
    </row>
    <row r="16" spans="1:2">
      <c r="A16" s="1">
        <v>7</v>
      </c>
      <c r="B16" s="1">
        <v>48.8</v>
      </c>
    </row>
    <row r="17" spans="1:2">
      <c r="A17" s="1">
        <v>2</v>
      </c>
      <c r="B17" s="1">
        <v>6.6</v>
      </c>
    </row>
    <row r="18" spans="1:2">
      <c r="A18" s="1">
        <v>24</v>
      </c>
      <c r="B18" s="1">
        <v>134.9</v>
      </c>
    </row>
    <row r="19" spans="1:2">
      <c r="A19" s="1">
        <v>6</v>
      </c>
      <c r="B19" s="1">
        <v>50.9</v>
      </c>
    </row>
    <row r="20" spans="1:2">
      <c r="A20" s="1">
        <v>3</v>
      </c>
      <c r="B20" s="1">
        <v>4.4000000000000004</v>
      </c>
    </row>
    <row r="21" spans="1:2">
      <c r="A21" s="1">
        <v>23</v>
      </c>
      <c r="B21" s="1">
        <v>113</v>
      </c>
    </row>
    <row r="22" spans="1:2">
      <c r="A22" s="1">
        <v>6</v>
      </c>
      <c r="B22" s="1">
        <v>14.8</v>
      </c>
    </row>
    <row r="23" spans="1:2">
      <c r="A23" s="1">
        <v>9</v>
      </c>
      <c r="B23" s="1">
        <v>48.7</v>
      </c>
    </row>
    <row r="24" spans="1:2">
      <c r="A24" s="1">
        <v>9</v>
      </c>
      <c r="B24" s="1">
        <v>52.1</v>
      </c>
    </row>
    <row r="25" spans="1:2">
      <c r="A25" s="1">
        <v>3</v>
      </c>
      <c r="B25" s="1">
        <v>13.2</v>
      </c>
    </row>
    <row r="26" spans="1:2">
      <c r="A26" s="1">
        <v>29</v>
      </c>
      <c r="B26" s="1">
        <v>103.9</v>
      </c>
    </row>
    <row r="27" spans="1:2">
      <c r="A27" s="1">
        <v>7</v>
      </c>
      <c r="B27" s="1">
        <v>77.5</v>
      </c>
    </row>
    <row r="28" spans="1:2">
      <c r="A28" s="1">
        <v>4</v>
      </c>
      <c r="B28" s="1">
        <v>11.8</v>
      </c>
    </row>
    <row r="29" spans="1:2">
      <c r="A29" s="1">
        <v>20</v>
      </c>
      <c r="B29" s="1">
        <v>98.1</v>
      </c>
    </row>
    <row r="30" spans="1:2">
      <c r="A30" s="1">
        <v>7</v>
      </c>
      <c r="B30" s="1">
        <v>27.9</v>
      </c>
    </row>
    <row r="31" spans="1:2">
      <c r="A31" s="1">
        <v>4</v>
      </c>
      <c r="B31" s="1">
        <v>38.1</v>
      </c>
    </row>
    <row r="32" spans="1:2">
      <c r="A32" s="1">
        <v>0</v>
      </c>
      <c r="B32" s="1">
        <v>0</v>
      </c>
    </row>
    <row r="33" spans="1:2">
      <c r="A33" s="1">
        <v>25</v>
      </c>
      <c r="B33" s="1">
        <v>69.2</v>
      </c>
    </row>
    <row r="34" spans="1:2">
      <c r="A34" s="1">
        <v>6</v>
      </c>
      <c r="B34" s="1">
        <v>14.6</v>
      </c>
    </row>
    <row r="35" spans="1:2">
      <c r="A35" s="1">
        <v>5</v>
      </c>
      <c r="B35" s="1">
        <v>40.299999999999997</v>
      </c>
    </row>
    <row r="36" spans="1:2">
      <c r="A36" s="1">
        <v>22</v>
      </c>
      <c r="B36" s="1">
        <v>161.5</v>
      </c>
    </row>
    <row r="37" spans="1:2">
      <c r="A37" s="1">
        <v>11</v>
      </c>
      <c r="B37" s="1">
        <v>57.2</v>
      </c>
    </row>
    <row r="38" spans="1:2">
      <c r="A38" s="1">
        <v>61</v>
      </c>
      <c r="B38" s="1">
        <v>217.6</v>
      </c>
    </row>
    <row r="39" spans="1:2">
      <c r="A39" s="1">
        <v>12</v>
      </c>
      <c r="B39" s="1">
        <v>58.1</v>
      </c>
    </row>
    <row r="40" spans="1:2">
      <c r="A40" s="1">
        <v>4</v>
      </c>
      <c r="B40" s="1">
        <v>12.6</v>
      </c>
    </row>
    <row r="41" spans="1:2">
      <c r="A41" s="1">
        <v>16</v>
      </c>
      <c r="B41" s="1">
        <v>59.6</v>
      </c>
    </row>
    <row r="42" spans="1:2">
      <c r="A42" s="1">
        <v>13</v>
      </c>
      <c r="B42" s="1">
        <v>89.9</v>
      </c>
    </row>
    <row r="43" spans="1:2">
      <c r="A43" s="1">
        <v>60</v>
      </c>
      <c r="B43" s="1">
        <v>202.4</v>
      </c>
    </row>
    <row r="44" spans="1:2">
      <c r="A44" s="1">
        <v>41</v>
      </c>
      <c r="B44" s="1">
        <v>181.3</v>
      </c>
    </row>
    <row r="45" spans="1:2">
      <c r="A45" s="1">
        <v>37</v>
      </c>
      <c r="B45" s="1">
        <v>152.80000000000001</v>
      </c>
    </row>
    <row r="46" spans="1:2">
      <c r="A46" s="1">
        <v>55</v>
      </c>
      <c r="B46" s="1">
        <v>162.80000000000001</v>
      </c>
    </row>
    <row r="47" spans="1:2">
      <c r="A47" s="1">
        <v>41</v>
      </c>
      <c r="B47" s="1">
        <v>73.400000000000006</v>
      </c>
    </row>
    <row r="48" spans="1:2">
      <c r="A48" s="1">
        <v>11</v>
      </c>
      <c r="B48" s="1">
        <v>21.3</v>
      </c>
    </row>
    <row r="49" spans="1:2">
      <c r="A49" s="1">
        <v>27</v>
      </c>
      <c r="B49" s="1">
        <v>92.6</v>
      </c>
    </row>
    <row r="50" spans="1:2">
      <c r="A50" s="1">
        <v>8</v>
      </c>
      <c r="B50" s="1">
        <v>76.099999999999994</v>
      </c>
    </row>
    <row r="51" spans="1:2">
      <c r="A51" s="1">
        <v>3</v>
      </c>
      <c r="B51" s="1">
        <v>39.9</v>
      </c>
    </row>
    <row r="52" spans="1:2">
      <c r="A52" s="1">
        <v>17</v>
      </c>
      <c r="B52" s="1">
        <v>142.1</v>
      </c>
    </row>
    <row r="53" spans="1:2">
      <c r="A53" s="1">
        <v>13</v>
      </c>
      <c r="B53" s="1">
        <v>93</v>
      </c>
    </row>
    <row r="54" spans="1:2">
      <c r="A54" s="1">
        <v>13</v>
      </c>
      <c r="B54" s="1">
        <v>31.9</v>
      </c>
    </row>
    <row r="55" spans="1:2">
      <c r="A55" s="1">
        <v>15</v>
      </c>
      <c r="B55" s="1">
        <v>32.1</v>
      </c>
    </row>
    <row r="56" spans="1:2">
      <c r="A56" s="1">
        <v>8</v>
      </c>
      <c r="B56" s="1">
        <v>55.6</v>
      </c>
    </row>
    <row r="57" spans="1:2">
      <c r="A57" s="1">
        <v>29</v>
      </c>
      <c r="B57" s="1">
        <v>133.30000000000001</v>
      </c>
    </row>
    <row r="58" spans="1:2">
      <c r="A58" s="1">
        <v>30</v>
      </c>
      <c r="B58" s="1">
        <v>194.5</v>
      </c>
    </row>
    <row r="59" spans="1:2">
      <c r="A59" s="1">
        <v>24</v>
      </c>
      <c r="B59" s="1">
        <v>137.9</v>
      </c>
    </row>
    <row r="60" spans="1:2">
      <c r="A60" s="1">
        <v>9</v>
      </c>
      <c r="B60" s="1">
        <v>87.4</v>
      </c>
    </row>
    <row r="61" spans="1:2">
      <c r="A61" s="1">
        <v>31</v>
      </c>
      <c r="B61" s="1">
        <v>209.8</v>
      </c>
    </row>
    <row r="62" spans="1:2">
      <c r="A62" s="1">
        <v>14</v>
      </c>
      <c r="B62" s="1">
        <v>95.5</v>
      </c>
    </row>
    <row r="63" spans="1:2">
      <c r="A63" s="1">
        <v>53</v>
      </c>
      <c r="B63" s="1">
        <v>244.6</v>
      </c>
    </row>
    <row r="64" spans="1:2">
      <c r="A64" s="1">
        <v>26</v>
      </c>
      <c r="B64" s="1">
        <v>187.5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C1" sqref="C1"/>
    </sheetView>
  </sheetViews>
  <sheetFormatPr defaultRowHeight="15"/>
  <cols>
    <col min="1" max="1" width="31.85546875" bestFit="1" customWidth="1"/>
    <col min="2" max="2" width="42.5703125" bestFit="1" customWidth="1"/>
    <col min="3" max="3" width="12.7109375" bestFit="1" customWidth="1"/>
    <col min="4" max="4" width="12" bestFit="1" customWidth="1"/>
  </cols>
  <sheetData>
    <row r="1" spans="1:2">
      <c r="A1" s="1" t="s">
        <v>2</v>
      </c>
      <c r="B1" s="1" t="s">
        <v>3</v>
      </c>
    </row>
    <row r="2" spans="1:2">
      <c r="A2" s="1">
        <v>108</v>
      </c>
      <c r="B2" s="1">
        <v>392.5</v>
      </c>
    </row>
    <row r="3" spans="1:2">
      <c r="A3" s="1">
        <v>19</v>
      </c>
      <c r="B3" s="1">
        <v>46.2</v>
      </c>
    </row>
    <row r="4" spans="1:2">
      <c r="A4" s="1">
        <v>13</v>
      </c>
      <c r="B4" s="1">
        <v>15.7</v>
      </c>
    </row>
    <row r="5" spans="1:2">
      <c r="A5" s="1">
        <v>124</v>
      </c>
      <c r="B5" s="1">
        <v>422.2</v>
      </c>
    </row>
    <row r="6" spans="1:2">
      <c r="A6" s="1">
        <v>40</v>
      </c>
      <c r="B6" s="1">
        <v>119.4</v>
      </c>
    </row>
    <row r="7" spans="1:2">
      <c r="A7" s="1">
        <v>57</v>
      </c>
      <c r="B7" s="1">
        <v>170.9</v>
      </c>
    </row>
    <row r="8" spans="1:2">
      <c r="A8" s="1">
        <v>23</v>
      </c>
      <c r="B8" s="1">
        <v>56.9</v>
      </c>
    </row>
    <row r="9" spans="1:2">
      <c r="A9" s="1">
        <v>14</v>
      </c>
      <c r="B9" s="1">
        <v>77.5</v>
      </c>
    </row>
    <row r="10" spans="1:2">
      <c r="A10" s="1">
        <v>45</v>
      </c>
      <c r="B10" s="1">
        <v>214</v>
      </c>
    </row>
    <row r="11" spans="1:2">
      <c r="A11" s="1">
        <v>10</v>
      </c>
      <c r="B11" s="1">
        <v>65.3</v>
      </c>
    </row>
    <row r="12" spans="1:2">
      <c r="A12" s="1">
        <v>5</v>
      </c>
      <c r="B12" s="1">
        <v>20.9</v>
      </c>
    </row>
    <row r="13" spans="1:2">
      <c r="A13" s="1">
        <v>48</v>
      </c>
      <c r="B13" s="1">
        <v>248.1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>
      <selection activeCell="E13" sqref="E13"/>
    </sheetView>
  </sheetViews>
  <sheetFormatPr defaultRowHeight="15"/>
  <cols>
    <col min="4" max="4" width="18.42578125" bestFit="1" customWidth="1"/>
    <col min="5" max="5" width="32.140625" bestFit="1" customWidth="1"/>
    <col min="7" max="7" width="10" bestFit="1" customWidth="1"/>
    <col min="8" max="8" width="10.7109375" bestFit="1" customWidth="1"/>
    <col min="9" max="9" width="16.140625" bestFit="1" customWidth="1"/>
  </cols>
  <sheetData>
    <row r="1" spans="1:9">
      <c r="A1" s="1" t="s">
        <v>4</v>
      </c>
      <c r="B1" s="1" t="s">
        <v>5</v>
      </c>
      <c r="C1" t="s">
        <v>6</v>
      </c>
      <c r="D1" t="s">
        <v>7</v>
      </c>
      <c r="E1" t="s">
        <v>16</v>
      </c>
      <c r="F1" t="s">
        <v>12</v>
      </c>
      <c r="G1" t="s">
        <v>13</v>
      </c>
      <c r="H1" t="s">
        <v>14</v>
      </c>
      <c r="I1" t="s">
        <v>15</v>
      </c>
    </row>
    <row r="2" spans="1:9">
      <c r="A2" s="1"/>
      <c r="B2" s="1"/>
      <c r="D2" t="s">
        <v>8</v>
      </c>
    </row>
    <row r="3" spans="1:9">
      <c r="A3" s="1">
        <v>0</v>
      </c>
      <c r="B3" s="1">
        <v>2</v>
      </c>
      <c r="D3">
        <f>AVERAGE(B3:B5)</f>
        <v>4</v>
      </c>
      <c r="E3">
        <f>(3*A3)+2</f>
        <v>2</v>
      </c>
      <c r="F3">
        <f>B3-E3</f>
        <v>0</v>
      </c>
      <c r="G3">
        <f>F3^2</f>
        <v>0</v>
      </c>
      <c r="H3">
        <f>B3-$D$3</f>
        <v>-2</v>
      </c>
      <c r="I3">
        <f>H3^2</f>
        <v>4</v>
      </c>
    </row>
    <row r="4" spans="1:9">
      <c r="A4" s="1">
        <v>1</v>
      </c>
      <c r="B4" s="1">
        <v>2</v>
      </c>
      <c r="E4">
        <f t="shared" ref="E4:E5" si="0">(3*A4)+2</f>
        <v>5</v>
      </c>
      <c r="F4">
        <f t="shared" ref="F4:F5" si="1">B4-E4</f>
        <v>-3</v>
      </c>
      <c r="G4">
        <f t="shared" ref="G4:G5" si="2">F4^2</f>
        <v>9</v>
      </c>
      <c r="H4">
        <f t="shared" ref="H4:H5" si="3">B4-$D$3</f>
        <v>-2</v>
      </c>
      <c r="I4">
        <f t="shared" ref="I4:I5" si="4">H4^2</f>
        <v>4</v>
      </c>
    </row>
    <row r="5" spans="1:9">
      <c r="A5" s="1">
        <v>1</v>
      </c>
      <c r="B5" s="1">
        <v>8</v>
      </c>
      <c r="E5">
        <f t="shared" si="0"/>
        <v>5</v>
      </c>
      <c r="F5">
        <f t="shared" si="1"/>
        <v>3</v>
      </c>
      <c r="G5">
        <f t="shared" si="2"/>
        <v>9</v>
      </c>
      <c r="H5">
        <f t="shared" si="3"/>
        <v>4</v>
      </c>
      <c r="I5">
        <f t="shared" si="4"/>
        <v>16</v>
      </c>
    </row>
    <row r="6" spans="1:9">
      <c r="A6" s="1"/>
      <c r="B6" s="1"/>
    </row>
    <row r="7" spans="1:9">
      <c r="A7" s="1"/>
      <c r="B7" s="1"/>
      <c r="D7" t="s">
        <v>9</v>
      </c>
      <c r="G7">
        <f>SUM(G3:G5)</f>
        <v>18</v>
      </c>
    </row>
    <row r="8" spans="1:9">
      <c r="A8" s="1"/>
      <c r="B8" s="1"/>
      <c r="D8" t="s">
        <v>10</v>
      </c>
      <c r="I8">
        <f>SUM(I3:I5)</f>
        <v>24</v>
      </c>
    </row>
    <row r="9" spans="1:9">
      <c r="A9" s="1"/>
      <c r="B9" s="1"/>
      <c r="D9" t="s">
        <v>11</v>
      </c>
      <c r="F9">
        <f>1-(G7/I8)</f>
        <v>0.25</v>
      </c>
    </row>
    <row r="10" spans="1:9">
      <c r="A10" s="1"/>
      <c r="B10" s="1"/>
    </row>
    <row r="11" spans="1:9">
      <c r="A11" s="1"/>
      <c r="B11" s="1"/>
      <c r="D11" t="s">
        <v>11</v>
      </c>
      <c r="E11" t="s">
        <v>17</v>
      </c>
    </row>
    <row r="12" spans="1:9">
      <c r="A12" s="1"/>
      <c r="B12" s="1"/>
    </row>
    <row r="13" spans="1:9">
      <c r="A13" s="1"/>
      <c r="B1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ClaimsVsPayment</vt:lpstr>
      <vt:lpstr>sample_data</vt:lpstr>
      <vt:lpstr>Reg_calculations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2020-03-08T06:26:40Z</dcterms:created>
  <dcterms:modified xsi:type="dcterms:W3CDTF">2020-03-11T05:27:08Z</dcterms:modified>
</cp:coreProperties>
</file>